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 \MATEMATICA FINANCIERA\"/>
    </mc:Choice>
  </mc:AlternateContent>
  <bookViews>
    <workbookView xWindow="0" yWindow="0" windowWidth="20730" windowHeight="9735"/>
  </bookViews>
  <sheets>
    <sheet name="Presentacion" sheetId="5" r:id="rId1"/>
    <sheet name="Ej_A" sheetId="6" r:id="rId2"/>
    <sheet name="Ej_B" sheetId="7" r:id="rId3"/>
    <sheet name="Ej_C" sheetId="9" r:id="rId4"/>
    <sheet name="Ej_D" sheetId="8" r:id="rId5"/>
    <sheet name="Ej_E" sheetId="10" r:id="rId6"/>
    <sheet name="Ej_F" sheetId="11" r:id="rId7"/>
    <sheet name="Ej_G" sheetId="12" r:id="rId8"/>
    <sheet name="Ej_H" sheetId="14" r:id="rId9"/>
    <sheet name="Ej_I" sheetId="13" r:id="rId10"/>
    <sheet name="Ej_PI" sheetId="15" r:id="rId11"/>
    <sheet name="Ej_Amber_A" sheetId="1" r:id="rId12"/>
    <sheet name="Ej_Amber_B" sheetId="2" r:id="rId1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4" l="1"/>
  <c r="F20" i="14"/>
  <c r="G20" i="14"/>
  <c r="H20" i="14"/>
  <c r="I20" i="14"/>
  <c r="E20" i="14"/>
  <c r="F19" i="14"/>
  <c r="G19" i="14"/>
  <c r="H19" i="14"/>
  <c r="I19" i="14"/>
  <c r="E19" i="14"/>
  <c r="F18" i="14"/>
  <c r="G18" i="14"/>
  <c r="H18" i="14"/>
  <c r="I18" i="14"/>
  <c r="E18" i="14"/>
  <c r="F17" i="14"/>
  <c r="G17" i="14"/>
  <c r="H17" i="14"/>
  <c r="I17" i="14"/>
  <c r="E17" i="14"/>
  <c r="F16" i="14"/>
  <c r="G16" i="14"/>
  <c r="H16" i="14"/>
  <c r="I16" i="14"/>
  <c r="E16" i="14"/>
  <c r="E15" i="14"/>
  <c r="F15" i="14"/>
  <c r="G15" i="14"/>
  <c r="H15" i="14"/>
  <c r="I15" i="14"/>
  <c r="P6" i="14"/>
  <c r="Q6" i="14"/>
  <c r="R6" i="14"/>
  <c r="S6" i="14"/>
  <c r="P7" i="14"/>
  <c r="Q7" i="14"/>
  <c r="R7" i="14"/>
  <c r="S7" i="14"/>
  <c r="P8" i="14"/>
  <c r="Q8" i="14"/>
  <c r="R8" i="14"/>
  <c r="S8" i="14"/>
  <c r="P9" i="14"/>
  <c r="Q9" i="14"/>
  <c r="R9" i="14"/>
  <c r="S9" i="14"/>
  <c r="P10" i="14"/>
  <c r="Q10" i="14"/>
  <c r="R10" i="14"/>
  <c r="S10" i="14"/>
  <c r="P11" i="14"/>
  <c r="Q11" i="14"/>
  <c r="R11" i="14"/>
  <c r="S11" i="14"/>
  <c r="P12" i="14"/>
  <c r="Q12" i="14"/>
  <c r="R12" i="14"/>
  <c r="S12" i="14"/>
  <c r="P13" i="14"/>
  <c r="Q13" i="14"/>
  <c r="R13" i="14"/>
  <c r="S13" i="14"/>
  <c r="P14" i="14"/>
  <c r="Q14" i="14"/>
  <c r="R14" i="14"/>
  <c r="S14" i="14"/>
  <c r="P15" i="14"/>
  <c r="Q15" i="14"/>
  <c r="R15" i="14"/>
  <c r="S15" i="14"/>
  <c r="P16" i="14"/>
  <c r="Q16" i="14"/>
  <c r="R16" i="14"/>
  <c r="S16" i="14"/>
  <c r="O16" i="14"/>
  <c r="O7" i="14"/>
  <c r="O8" i="14"/>
  <c r="O9" i="14"/>
  <c r="O10" i="14"/>
  <c r="O11" i="14"/>
  <c r="O12" i="14"/>
  <c r="O13" i="14"/>
  <c r="O14" i="14"/>
  <c r="O15" i="14"/>
  <c r="O6" i="14"/>
  <c r="L11" i="14"/>
  <c r="L10" i="14"/>
  <c r="L9" i="14"/>
  <c r="L8" i="14"/>
  <c r="L7" i="14"/>
  <c r="H11" i="14"/>
  <c r="D16" i="14" s="1"/>
  <c r="H10" i="14"/>
  <c r="D20" i="14" s="1"/>
  <c r="H9" i="14"/>
  <c r="D19" i="14" s="1"/>
  <c r="H8" i="14"/>
  <c r="D15" i="14" s="1"/>
  <c r="H7" i="14"/>
  <c r="D18" i="14" s="1"/>
  <c r="G11" i="14"/>
  <c r="G10" i="14"/>
  <c r="G9" i="14"/>
  <c r="G8" i="14"/>
  <c r="G7" i="14"/>
  <c r="F11" i="14"/>
  <c r="F10" i="14"/>
  <c r="F9" i="14"/>
  <c r="F8" i="14"/>
  <c r="F7" i="14"/>
  <c r="E11" i="14"/>
  <c r="E10" i="14"/>
  <c r="E9" i="14"/>
  <c r="E8" i="14"/>
  <c r="E7" i="14"/>
  <c r="C8" i="14"/>
  <c r="C9" i="14"/>
  <c r="C10" i="14"/>
  <c r="C11" i="14"/>
  <c r="C7" i="14"/>
  <c r="D29" i="15" l="1"/>
  <c r="D28" i="15"/>
  <c r="D27" i="15"/>
  <c r="D26" i="15"/>
  <c r="D25" i="15"/>
  <c r="D9" i="15"/>
  <c r="E9" i="15"/>
  <c r="F9" i="15"/>
  <c r="G9" i="15"/>
  <c r="H9" i="15"/>
  <c r="D10" i="15"/>
  <c r="E10" i="15"/>
  <c r="F10" i="15"/>
  <c r="G10" i="15"/>
  <c r="H10" i="15"/>
  <c r="D11" i="15"/>
  <c r="E11" i="15"/>
  <c r="F11" i="15"/>
  <c r="G11" i="15"/>
  <c r="H11" i="15"/>
  <c r="D12" i="15"/>
  <c r="E12" i="15"/>
  <c r="F12" i="15"/>
  <c r="G12" i="15"/>
  <c r="H12" i="15"/>
  <c r="D13" i="15"/>
  <c r="E13" i="15"/>
  <c r="F13" i="15"/>
  <c r="G13" i="15"/>
  <c r="H13" i="15"/>
  <c r="D14" i="15"/>
  <c r="E14" i="15"/>
  <c r="F14" i="15"/>
  <c r="G14" i="15"/>
  <c r="H14" i="15"/>
  <c r="D15" i="15"/>
  <c r="E15" i="15"/>
  <c r="F15" i="15"/>
  <c r="G15" i="15"/>
  <c r="H15" i="15"/>
  <c r="D16" i="15"/>
  <c r="E16" i="15"/>
  <c r="F16" i="15"/>
  <c r="G16" i="15"/>
  <c r="H16" i="15"/>
  <c r="D17" i="15"/>
  <c r="E17" i="15"/>
  <c r="F17" i="15"/>
  <c r="G17" i="15"/>
  <c r="H17" i="15"/>
  <c r="D18" i="15"/>
  <c r="E18" i="15"/>
  <c r="F18" i="15"/>
  <c r="G18" i="15"/>
  <c r="H18" i="15"/>
  <c r="E8" i="15"/>
  <c r="E26" i="15" s="1"/>
  <c r="F8" i="15"/>
  <c r="E36" i="15" s="1"/>
  <c r="G8" i="15"/>
  <c r="E35" i="15" s="1"/>
  <c r="H8" i="15"/>
  <c r="E29" i="15" s="1"/>
  <c r="D8" i="15"/>
  <c r="E25" i="15" s="1"/>
  <c r="B3" i="13"/>
  <c r="F7" i="13"/>
  <c r="G7" i="13"/>
  <c r="H7" i="13"/>
  <c r="I7" i="13"/>
  <c r="J7" i="13"/>
  <c r="K7" i="13"/>
  <c r="F8" i="13"/>
  <c r="G8" i="13"/>
  <c r="H8" i="13"/>
  <c r="I8" i="13"/>
  <c r="J8" i="13"/>
  <c r="K8" i="13"/>
  <c r="F9" i="13"/>
  <c r="G9" i="13"/>
  <c r="H9" i="13"/>
  <c r="I9" i="13"/>
  <c r="J9" i="13"/>
  <c r="K9" i="13"/>
  <c r="F10" i="13"/>
  <c r="G10" i="13"/>
  <c r="H10" i="13"/>
  <c r="I10" i="13"/>
  <c r="J10" i="13"/>
  <c r="K10" i="13"/>
  <c r="F11" i="13"/>
  <c r="G11" i="13"/>
  <c r="H11" i="13"/>
  <c r="I11" i="13"/>
  <c r="J11" i="13"/>
  <c r="K11" i="13"/>
  <c r="F12" i="13"/>
  <c r="G12" i="13"/>
  <c r="H12" i="13"/>
  <c r="I12" i="13"/>
  <c r="J12" i="13"/>
  <c r="K12" i="13"/>
  <c r="F13" i="13"/>
  <c r="G13" i="13"/>
  <c r="H13" i="13"/>
  <c r="I13" i="13"/>
  <c r="J13" i="13"/>
  <c r="K13" i="13"/>
  <c r="F14" i="13"/>
  <c r="G14" i="13"/>
  <c r="H14" i="13"/>
  <c r="I14" i="13"/>
  <c r="J14" i="13"/>
  <c r="K14" i="13"/>
  <c r="F15" i="13"/>
  <c r="G15" i="13"/>
  <c r="H15" i="13"/>
  <c r="I15" i="13"/>
  <c r="J15" i="13"/>
  <c r="K15" i="13"/>
  <c r="F16" i="13"/>
  <c r="G16" i="13"/>
  <c r="H16" i="13"/>
  <c r="I16" i="13"/>
  <c r="J16" i="13"/>
  <c r="K16" i="13"/>
  <c r="G6" i="13"/>
  <c r="H6" i="13"/>
  <c r="I6" i="13"/>
  <c r="J6" i="13"/>
  <c r="K6" i="13"/>
  <c r="F6" i="13"/>
  <c r="B3" i="12"/>
  <c r="K10" i="12"/>
  <c r="J12" i="12"/>
  <c r="J11" i="12"/>
  <c r="J10" i="12"/>
  <c r="J9" i="12"/>
  <c r="J8" i="12"/>
  <c r="C12" i="12"/>
  <c r="K9" i="12" s="1"/>
  <c r="D8" i="12"/>
  <c r="D12" i="12" s="1"/>
  <c r="K8" i="12" s="1"/>
  <c r="E8" i="12"/>
  <c r="E12" i="12" s="1"/>
  <c r="K12" i="12" s="1"/>
  <c r="F8" i="12"/>
  <c r="F12" i="12" s="1"/>
  <c r="G8" i="12"/>
  <c r="G12" i="12" s="1"/>
  <c r="K11" i="12" s="1"/>
  <c r="C8" i="12"/>
  <c r="E28" i="15" l="1"/>
  <c r="E27" i="15"/>
  <c r="H21" i="15"/>
  <c r="F21" i="15"/>
  <c r="G21" i="15"/>
  <c r="F28" i="15" s="1"/>
  <c r="E21" i="15"/>
  <c r="D21" i="15"/>
  <c r="F25" i="15" s="1"/>
  <c r="C35" i="15"/>
  <c r="E34" i="15"/>
  <c r="E37" i="15"/>
  <c r="E38" i="15"/>
  <c r="F34" i="15" l="1"/>
  <c r="F35" i="15" s="1"/>
  <c r="F36" i="15" s="1"/>
  <c r="G34" i="15"/>
  <c r="G35" i="15" s="1"/>
  <c r="G36" i="15" s="1"/>
  <c r="G37" i="15" s="1"/>
  <c r="G38" i="15" s="1"/>
  <c r="C37" i="15"/>
  <c r="F29" i="15"/>
  <c r="C38" i="15"/>
  <c r="F26" i="15"/>
  <c r="C36" i="15"/>
  <c r="F27" i="15"/>
  <c r="C34" i="15"/>
  <c r="D34" i="15" s="1"/>
  <c r="D35" i="15"/>
  <c r="F37" i="15"/>
  <c r="F38" i="15" s="1"/>
  <c r="D36" i="15" l="1"/>
  <c r="D37" i="15" s="1"/>
  <c r="D38" i="15" s="1"/>
  <c r="B3" i="11" l="1"/>
  <c r="D75" i="11"/>
  <c r="D76" i="11"/>
  <c r="D77" i="11"/>
  <c r="E77" i="11" s="1"/>
  <c r="D78" i="11"/>
  <c r="E78" i="11" s="1"/>
  <c r="D79" i="11"/>
  <c r="D62" i="11"/>
  <c r="D63" i="11"/>
  <c r="E63" i="11" s="1"/>
  <c r="E65" i="11" s="1"/>
  <c r="D46" i="11"/>
  <c r="E46" i="11" s="1"/>
  <c r="D47" i="11"/>
  <c r="D48" i="11"/>
  <c r="E48" i="11" s="1"/>
  <c r="D49" i="11"/>
  <c r="E49" i="11" s="1"/>
  <c r="D50" i="11"/>
  <c r="E50" i="11" s="1"/>
  <c r="E52" i="11" s="1"/>
  <c r="D28" i="11"/>
  <c r="D29" i="11"/>
  <c r="D30" i="11"/>
  <c r="E30" i="11" s="1"/>
  <c r="D31" i="11"/>
  <c r="E31" i="11" s="1"/>
  <c r="D32" i="11"/>
  <c r="D33" i="11"/>
  <c r="D34" i="11"/>
  <c r="E34" i="11" s="1"/>
  <c r="D35" i="11"/>
  <c r="E35" i="11" s="1"/>
  <c r="D36" i="11"/>
  <c r="D37" i="11"/>
  <c r="E37" i="11" s="1"/>
  <c r="D8" i="11"/>
  <c r="E8" i="11" s="1"/>
  <c r="D9" i="11"/>
  <c r="E9" i="11" s="1"/>
  <c r="D10" i="11"/>
  <c r="D11" i="11"/>
  <c r="E11" i="11" s="1"/>
  <c r="D12" i="11"/>
  <c r="E12" i="11" s="1"/>
  <c r="D13" i="11"/>
  <c r="E13" i="11" s="1"/>
  <c r="D14" i="11"/>
  <c r="D15" i="11"/>
  <c r="E15" i="11" s="1"/>
  <c r="D16" i="11"/>
  <c r="E16" i="11" s="1"/>
  <c r="D17" i="11"/>
  <c r="E17" i="11" s="1"/>
  <c r="E19" i="11" s="1"/>
  <c r="E7" i="11"/>
  <c r="F7" i="11"/>
  <c r="D27" i="11"/>
  <c r="E27" i="11"/>
  <c r="F27" i="11"/>
  <c r="D45" i="11"/>
  <c r="E45" i="11"/>
  <c r="F45" i="11"/>
  <c r="D61" i="11"/>
  <c r="E61" i="11"/>
  <c r="F61" i="11"/>
  <c r="D74" i="11"/>
  <c r="E74" i="11"/>
  <c r="F74" i="11"/>
  <c r="D7" i="11"/>
  <c r="E36" i="11"/>
  <c r="E14" i="11"/>
  <c r="E33" i="11"/>
  <c r="E79" i="11"/>
  <c r="E32" i="11"/>
  <c r="E10" i="11"/>
  <c r="E76" i="11"/>
  <c r="E47" i="11"/>
  <c r="E29" i="11"/>
  <c r="E75" i="11"/>
  <c r="E62" i="11"/>
  <c r="E28" i="11"/>
  <c r="F28" i="11" s="1"/>
  <c r="B3" i="10"/>
  <c r="D78" i="10"/>
  <c r="D79" i="10"/>
  <c r="D80" i="10"/>
  <c r="D81" i="10"/>
  <c r="D84" i="10" s="1"/>
  <c r="D82" i="10"/>
  <c r="D65" i="10"/>
  <c r="D66" i="10"/>
  <c r="D49" i="10"/>
  <c r="D50" i="10"/>
  <c r="D51" i="10"/>
  <c r="D55" i="10" s="1"/>
  <c r="D52" i="10"/>
  <c r="D53" i="10"/>
  <c r="D28" i="10"/>
  <c r="D29" i="10"/>
  <c r="D30" i="10"/>
  <c r="D31" i="10"/>
  <c r="D32" i="10"/>
  <c r="D33" i="10"/>
  <c r="D34" i="10"/>
  <c r="D35" i="10"/>
  <c r="D36" i="10"/>
  <c r="D37" i="10"/>
  <c r="E7" i="10"/>
  <c r="D27" i="10"/>
  <c r="E27" i="10"/>
  <c r="E28" i="10" s="1"/>
  <c r="D48" i="10"/>
  <c r="E48" i="10"/>
  <c r="D64" i="10"/>
  <c r="E64" i="10"/>
  <c r="D77" i="10"/>
  <c r="E77" i="10"/>
  <c r="E78" i="10" s="1"/>
  <c r="E79" i="10" s="1"/>
  <c r="E80" i="10" s="1"/>
  <c r="D8" i="10"/>
  <c r="D9" i="10"/>
  <c r="D10" i="10"/>
  <c r="D11" i="10"/>
  <c r="D12" i="10"/>
  <c r="D19" i="10" s="1"/>
  <c r="D13" i="10"/>
  <c r="D14" i="10"/>
  <c r="D15" i="10"/>
  <c r="D16" i="10"/>
  <c r="D17" i="10"/>
  <c r="D7" i="10"/>
  <c r="D68" i="10"/>
  <c r="D39" i="10"/>
  <c r="B3" i="9"/>
  <c r="C9" i="9"/>
  <c r="D9" i="9"/>
  <c r="E9" i="9"/>
  <c r="F9" i="9"/>
  <c r="G9" i="9"/>
  <c r="C10" i="9"/>
  <c r="D10" i="9"/>
  <c r="E10" i="9"/>
  <c r="F10" i="9"/>
  <c r="G10" i="9"/>
  <c r="C11" i="9"/>
  <c r="D11" i="9"/>
  <c r="E11" i="9"/>
  <c r="F11" i="9"/>
  <c r="G11" i="9"/>
  <c r="C12" i="9"/>
  <c r="D12" i="9"/>
  <c r="E12" i="9"/>
  <c r="F12" i="9"/>
  <c r="G12" i="9"/>
  <c r="C13" i="9"/>
  <c r="D13" i="9"/>
  <c r="E13" i="9"/>
  <c r="F13" i="9"/>
  <c r="G13" i="9"/>
  <c r="C14" i="9"/>
  <c r="D14" i="9"/>
  <c r="E14" i="9"/>
  <c r="F14" i="9"/>
  <c r="G14" i="9"/>
  <c r="C15" i="9"/>
  <c r="D15" i="9"/>
  <c r="E15" i="9"/>
  <c r="F15" i="9"/>
  <c r="G15" i="9"/>
  <c r="C16" i="9"/>
  <c r="D16" i="9"/>
  <c r="E16" i="9"/>
  <c r="F16" i="9"/>
  <c r="G16" i="9"/>
  <c r="C17" i="9"/>
  <c r="D17" i="9"/>
  <c r="E17" i="9"/>
  <c r="F17" i="9"/>
  <c r="G17" i="9"/>
  <c r="C18" i="9"/>
  <c r="D18" i="9"/>
  <c r="E18" i="9"/>
  <c r="V18" i="9" s="1"/>
  <c r="F18" i="9"/>
  <c r="G18" i="9"/>
  <c r="D8" i="9"/>
  <c r="E8" i="9"/>
  <c r="F8" i="9"/>
  <c r="G8" i="9"/>
  <c r="C8" i="9"/>
  <c r="M18" i="9"/>
  <c r="M14" i="9"/>
  <c r="M10" i="9"/>
  <c r="F8" i="11" l="1"/>
  <c r="F29" i="11"/>
  <c r="F30" i="11" s="1"/>
  <c r="F31" i="11" s="1"/>
  <c r="F32" i="11" s="1"/>
  <c r="F33" i="11" s="1"/>
  <c r="F34" i="11" s="1"/>
  <c r="F35" i="11" s="1"/>
  <c r="F36" i="11" s="1"/>
  <c r="F37" i="11" s="1"/>
  <c r="F75" i="11"/>
  <c r="F76" i="11" s="1"/>
  <c r="F77" i="11" s="1"/>
  <c r="F78" i="11" s="1"/>
  <c r="F79" i="11" s="1"/>
  <c r="F62" i="11"/>
  <c r="E66" i="11" s="1"/>
  <c r="F66" i="11" s="1"/>
  <c r="F46" i="11"/>
  <c r="F47" i="11" s="1"/>
  <c r="F48" i="11" s="1"/>
  <c r="F49" i="11" s="1"/>
  <c r="F50" i="11" s="1"/>
  <c r="F9" i="11"/>
  <c r="F10" i="11" s="1"/>
  <c r="F11" i="11" s="1"/>
  <c r="F12" i="11" s="1"/>
  <c r="F13" i="11" s="1"/>
  <c r="F14" i="11" s="1"/>
  <c r="F15" i="11" s="1"/>
  <c r="F16" i="11" s="1"/>
  <c r="E8" i="10"/>
  <c r="E9" i="10" s="1"/>
  <c r="E10" i="10" s="1"/>
  <c r="E49" i="10"/>
  <c r="E50" i="10" s="1"/>
  <c r="E65" i="10"/>
  <c r="E66" i="10" s="1"/>
  <c r="D69" i="10" s="1"/>
  <c r="E69" i="10" s="1"/>
  <c r="E29" i="10"/>
  <c r="E30" i="10" s="1"/>
  <c r="E31" i="10" s="1"/>
  <c r="E32" i="10" s="1"/>
  <c r="E11" i="10"/>
  <c r="E12" i="10" s="1"/>
  <c r="E13" i="10" s="1"/>
  <c r="E14" i="10" s="1"/>
  <c r="E15" i="10" s="1"/>
  <c r="E16" i="10" s="1"/>
  <c r="E17" i="10" s="1"/>
  <c r="D85" i="10"/>
  <c r="E85" i="10" s="1"/>
  <c r="E81" i="10"/>
  <c r="E82" i="10" s="1"/>
  <c r="D56" i="10"/>
  <c r="E56" i="10" s="1"/>
  <c r="E51" i="10"/>
  <c r="E52" i="10" s="1"/>
  <c r="E53" i="10" s="1"/>
  <c r="E21" i="9"/>
  <c r="D21" i="9"/>
  <c r="G21" i="9"/>
  <c r="C21" i="9"/>
  <c r="F21" i="9"/>
  <c r="Y15" i="9"/>
  <c r="U12" i="9"/>
  <c r="Y18" i="9"/>
  <c r="Y11" i="9"/>
  <c r="R17" i="9"/>
  <c r="R10" i="9"/>
  <c r="L10" i="9"/>
  <c r="Q12" i="9"/>
  <c r="V15" i="9"/>
  <c r="V13" i="9"/>
  <c r="Y16" i="9"/>
  <c r="V11" i="9"/>
  <c r="V9" i="9"/>
  <c r="R13" i="9"/>
  <c r="L17" i="9"/>
  <c r="Y8" i="9"/>
  <c r="V14" i="9"/>
  <c r="P11" i="9"/>
  <c r="V10" i="9"/>
  <c r="L9" i="9"/>
  <c r="Y9" i="9"/>
  <c r="V16" i="9"/>
  <c r="U17" i="9"/>
  <c r="E22" i="9"/>
  <c r="K8" i="9"/>
  <c r="V8" i="9"/>
  <c r="Y12" i="9"/>
  <c r="L13" i="9"/>
  <c r="Y13" i="9"/>
  <c r="R14" i="9"/>
  <c r="K16" i="9"/>
  <c r="V17" i="9"/>
  <c r="U9" i="9"/>
  <c r="V12" i="9"/>
  <c r="K12" i="9"/>
  <c r="Q13" i="9"/>
  <c r="U14" i="9"/>
  <c r="J15" i="9"/>
  <c r="Q16" i="9"/>
  <c r="R16" i="9"/>
  <c r="Y17" i="9"/>
  <c r="P18" i="9"/>
  <c r="R8" i="9"/>
  <c r="Q11" i="9"/>
  <c r="R9" i="9"/>
  <c r="Q9" i="9"/>
  <c r="U10" i="9"/>
  <c r="J11" i="9"/>
  <c r="R12" i="9"/>
  <c r="U13" i="9"/>
  <c r="L14" i="9"/>
  <c r="P15" i="9"/>
  <c r="Q15" i="9"/>
  <c r="U18" i="9"/>
  <c r="M13" i="9"/>
  <c r="J14" i="9"/>
  <c r="K15" i="9"/>
  <c r="F22" i="9"/>
  <c r="M8" i="9"/>
  <c r="U8" i="9"/>
  <c r="J9" i="9"/>
  <c r="P9" i="9"/>
  <c r="K10" i="9"/>
  <c r="Q10" i="9"/>
  <c r="Y10" i="9"/>
  <c r="L11" i="9"/>
  <c r="R11" i="9"/>
  <c r="M12" i="9"/>
  <c r="J13" i="9"/>
  <c r="P13" i="9"/>
  <c r="K14" i="9"/>
  <c r="Q14" i="9"/>
  <c r="Y14" i="9"/>
  <c r="L15" i="9"/>
  <c r="R15" i="9"/>
  <c r="M16" i="9"/>
  <c r="U16" i="9"/>
  <c r="J17" i="9"/>
  <c r="P17" i="9"/>
  <c r="K18" i="9"/>
  <c r="Q18" i="9"/>
  <c r="C22" i="9"/>
  <c r="G22" i="9"/>
  <c r="L8" i="9"/>
  <c r="J10" i="9"/>
  <c r="L12" i="9"/>
  <c r="P14" i="9"/>
  <c r="K9" i="9"/>
  <c r="M11" i="9"/>
  <c r="U11" i="9"/>
  <c r="J12" i="9"/>
  <c r="P12" i="9"/>
  <c r="K13" i="9"/>
  <c r="M15" i="9"/>
  <c r="U15" i="9"/>
  <c r="J16" i="9"/>
  <c r="P16" i="9"/>
  <c r="K17" i="9"/>
  <c r="Q17" i="9"/>
  <c r="L18" i="9"/>
  <c r="R18" i="9"/>
  <c r="D22" i="9"/>
  <c r="M9" i="9"/>
  <c r="P10" i="9"/>
  <c r="K11" i="9"/>
  <c r="L16" i="9"/>
  <c r="M17" i="9"/>
  <c r="J18" i="9"/>
  <c r="J8" i="9"/>
  <c r="P8" i="9"/>
  <c r="Q8" i="9"/>
  <c r="F63" i="11" l="1"/>
  <c r="E53" i="11"/>
  <c r="F53" i="11" s="1"/>
  <c r="F17" i="11"/>
  <c r="E20" i="11"/>
  <c r="F20" i="11" s="1"/>
  <c r="E33" i="10"/>
  <c r="E34" i="10" s="1"/>
  <c r="E35" i="10" s="1"/>
  <c r="E36" i="10" s="1"/>
  <c r="E37" i="10" s="1"/>
  <c r="D40" i="10"/>
  <c r="E40" i="10" s="1"/>
  <c r="D20" i="10"/>
  <c r="E20" i="10" s="1"/>
  <c r="K21" i="9"/>
  <c r="U22" i="9"/>
  <c r="L21" i="9"/>
  <c r="M21" i="9"/>
  <c r="Q21" i="9"/>
  <c r="V22" i="9"/>
  <c r="P21" i="9"/>
  <c r="J21" i="9"/>
  <c r="R21" i="9"/>
  <c r="U21" i="9"/>
  <c r="Y21" i="9"/>
  <c r="V21" i="9"/>
  <c r="R22" i="9"/>
  <c r="Y22" i="9"/>
  <c r="K22" i="9"/>
  <c r="P22" i="9"/>
  <c r="L22" i="9"/>
  <c r="J22" i="9"/>
  <c r="M22" i="9"/>
  <c r="Q22" i="9"/>
  <c r="L78" i="8" l="1"/>
  <c r="L77" i="8"/>
  <c r="L76" i="8"/>
  <c r="L75" i="8"/>
  <c r="L74" i="8"/>
  <c r="K78" i="8"/>
  <c r="K77" i="8"/>
  <c r="K76" i="8"/>
  <c r="K75" i="8"/>
  <c r="E76" i="8"/>
  <c r="F76" i="8"/>
  <c r="G76" i="8"/>
  <c r="H76" i="8"/>
  <c r="D76" i="8"/>
  <c r="K74" i="8"/>
  <c r="L87" i="8"/>
  <c r="L86" i="8"/>
  <c r="L85" i="8"/>
  <c r="L84" i="8"/>
  <c r="L83" i="8"/>
  <c r="K87" i="8"/>
  <c r="K86" i="8"/>
  <c r="K85" i="8"/>
  <c r="K84" i="8"/>
  <c r="K83" i="8"/>
  <c r="I61" i="8"/>
  <c r="I62" i="8"/>
  <c r="I63" i="8"/>
  <c r="I64" i="8"/>
  <c r="I65" i="8"/>
  <c r="I66" i="8"/>
  <c r="I67" i="8"/>
  <c r="I68" i="8"/>
  <c r="I69" i="8"/>
  <c r="I70" i="8"/>
  <c r="J61" i="8"/>
  <c r="J62" i="8"/>
  <c r="J63" i="8"/>
  <c r="J64" i="8"/>
  <c r="J65" i="8"/>
  <c r="J66" i="8"/>
  <c r="J67" i="8"/>
  <c r="J68" i="8"/>
  <c r="J69" i="8"/>
  <c r="J70" i="8"/>
  <c r="H61" i="8"/>
  <c r="H62" i="8"/>
  <c r="H63" i="8"/>
  <c r="H64" i="8"/>
  <c r="H65" i="8"/>
  <c r="H66" i="8"/>
  <c r="H67" i="8"/>
  <c r="H68" i="8"/>
  <c r="H69" i="8"/>
  <c r="H70" i="8"/>
  <c r="G61" i="8"/>
  <c r="G62" i="8"/>
  <c r="G63" i="8"/>
  <c r="G64" i="8"/>
  <c r="G65" i="8"/>
  <c r="G66" i="8"/>
  <c r="G67" i="8"/>
  <c r="G68" i="8"/>
  <c r="G69" i="8"/>
  <c r="G70" i="8"/>
  <c r="G60" i="8"/>
  <c r="H60" i="8"/>
  <c r="I60" i="8"/>
  <c r="J60" i="8"/>
  <c r="F61" i="8"/>
  <c r="F62" i="8"/>
  <c r="F63" i="8"/>
  <c r="F64" i="8"/>
  <c r="F65" i="8"/>
  <c r="F66" i="8"/>
  <c r="F67" i="8"/>
  <c r="F68" i="8"/>
  <c r="F69" i="8"/>
  <c r="F70" i="8"/>
  <c r="F60" i="8"/>
  <c r="D85" i="8"/>
  <c r="B3" i="8"/>
  <c r="B50" i="8"/>
  <c r="B40" i="8"/>
  <c r="B33" i="8"/>
  <c r="B27" i="8"/>
  <c r="B21" i="8"/>
  <c r="C18" i="8"/>
  <c r="D10" i="8"/>
  <c r="D53" i="8" s="1"/>
  <c r="D55" i="8" s="1"/>
  <c r="E10" i="8"/>
  <c r="J54" i="8" s="1"/>
  <c r="J55" i="8" s="1"/>
  <c r="F10" i="8"/>
  <c r="K54" i="8" s="1"/>
  <c r="K55" i="8" s="1"/>
  <c r="G10" i="8"/>
  <c r="G53" i="8" s="1"/>
  <c r="G55" i="8" s="1"/>
  <c r="H10" i="8"/>
  <c r="H53" i="8" s="1"/>
  <c r="D9" i="8"/>
  <c r="J46" i="8" s="1"/>
  <c r="J48" i="8" s="1"/>
  <c r="E9" i="8"/>
  <c r="E43" i="8" s="1"/>
  <c r="D8" i="8"/>
  <c r="I37" i="8" s="1"/>
  <c r="I38" i="8" s="1"/>
  <c r="E8" i="8"/>
  <c r="E36" i="8" s="1"/>
  <c r="E38" i="8" s="1"/>
  <c r="F8" i="8"/>
  <c r="K37" i="8" s="1"/>
  <c r="K38" i="8" s="1"/>
  <c r="G8" i="8"/>
  <c r="L37" i="8" s="1"/>
  <c r="L38" i="8" s="1"/>
  <c r="H8" i="8"/>
  <c r="H36" i="8" s="1"/>
  <c r="D7" i="8"/>
  <c r="D30" i="8" s="1"/>
  <c r="D31" i="8" s="1"/>
  <c r="E7" i="8"/>
  <c r="E30" i="8" s="1"/>
  <c r="E31" i="8" s="1"/>
  <c r="F7" i="8"/>
  <c r="F30" i="8" s="1"/>
  <c r="F31" i="8" s="1"/>
  <c r="G7" i="8"/>
  <c r="G30" i="8" s="1"/>
  <c r="G31" i="8" s="1"/>
  <c r="H7" i="8"/>
  <c r="H30" i="8" s="1"/>
  <c r="H31" i="8" s="1"/>
  <c r="I7" i="8"/>
  <c r="I30" i="8" s="1"/>
  <c r="I31" i="8" s="1"/>
  <c r="J7" i="8"/>
  <c r="J30" i="8" s="1"/>
  <c r="J31" i="8" s="1"/>
  <c r="K7" i="8"/>
  <c r="K30" i="8" s="1"/>
  <c r="K31" i="8" s="1"/>
  <c r="L7" i="8"/>
  <c r="L30" i="8" s="1"/>
  <c r="L31" i="8" s="1"/>
  <c r="M7" i="8"/>
  <c r="M30" i="8" s="1"/>
  <c r="M31" i="8" s="1"/>
  <c r="D6" i="8"/>
  <c r="D24" i="8" s="1"/>
  <c r="D25" i="8" s="1"/>
  <c r="E6" i="8"/>
  <c r="E24" i="8" s="1"/>
  <c r="E25" i="8" s="1"/>
  <c r="F6" i="8"/>
  <c r="F24" i="8" s="1"/>
  <c r="F25" i="8" s="1"/>
  <c r="G6" i="8"/>
  <c r="G24" i="8" s="1"/>
  <c r="G25" i="8" s="1"/>
  <c r="H6" i="8"/>
  <c r="H24" i="8" s="1"/>
  <c r="H25" i="8" s="1"/>
  <c r="I6" i="8"/>
  <c r="I24" i="8" s="1"/>
  <c r="I25" i="8" s="1"/>
  <c r="J6" i="8"/>
  <c r="J24" i="8" s="1"/>
  <c r="J25" i="8" s="1"/>
  <c r="K6" i="8"/>
  <c r="K24" i="8" s="1"/>
  <c r="K25" i="8" s="1"/>
  <c r="L6" i="8"/>
  <c r="L24" i="8" s="1"/>
  <c r="L25" i="8" s="1"/>
  <c r="M6" i="8"/>
  <c r="M24" i="8" s="1"/>
  <c r="M25" i="8" s="1"/>
  <c r="C7" i="8"/>
  <c r="C29" i="8" s="1"/>
  <c r="C31" i="8" s="1"/>
  <c r="C8" i="8"/>
  <c r="H37" i="8" s="1"/>
  <c r="C9" i="8"/>
  <c r="G45" i="8" s="1"/>
  <c r="C10" i="8"/>
  <c r="C52" i="8" s="1"/>
  <c r="C55" i="8" s="1"/>
  <c r="C6" i="8"/>
  <c r="C23" i="8" s="1"/>
  <c r="C25" i="8" s="1"/>
  <c r="H45" i="8" l="1"/>
  <c r="H48" i="8" s="1"/>
  <c r="E53" i="8"/>
  <c r="E55" i="8" s="1"/>
  <c r="H38" i="8"/>
  <c r="K46" i="8"/>
  <c r="F36" i="8"/>
  <c r="E44" i="8"/>
  <c r="E48" i="8" s="1"/>
  <c r="E85" i="8"/>
  <c r="M37" i="8"/>
  <c r="M38" i="8" s="1"/>
  <c r="H54" i="8"/>
  <c r="H55" i="8" s="1"/>
  <c r="C35" i="8"/>
  <c r="C38" i="8" s="1"/>
  <c r="G36" i="8"/>
  <c r="J37" i="8"/>
  <c r="J38" i="8" s="1"/>
  <c r="C42" i="8"/>
  <c r="C48" i="8" s="1"/>
  <c r="F44" i="8"/>
  <c r="F48" i="8" s="1"/>
  <c r="I45" i="8"/>
  <c r="K47" i="8"/>
  <c r="F53" i="8"/>
  <c r="I54" i="8"/>
  <c r="I55" i="8" s="1"/>
  <c r="M54" i="8"/>
  <c r="M55" i="8" s="1"/>
  <c r="K48" i="8"/>
  <c r="L54" i="8"/>
  <c r="L55" i="8" s="1"/>
  <c r="D36" i="8"/>
  <c r="D43" i="8"/>
  <c r="D48" i="8" s="1"/>
  <c r="G44" i="8"/>
  <c r="G48" i="8" s="1"/>
  <c r="I46" i="8"/>
  <c r="G85" i="8" s="1"/>
  <c r="L47" i="8"/>
  <c r="L48" i="8" s="1"/>
  <c r="M47" i="8"/>
  <c r="M48" i="8" s="1"/>
  <c r="K12" i="7"/>
  <c r="K11" i="7"/>
  <c r="K10" i="7"/>
  <c r="K9" i="7"/>
  <c r="K8" i="7"/>
  <c r="J12" i="7"/>
  <c r="J11" i="7"/>
  <c r="J10" i="7"/>
  <c r="J9" i="7"/>
  <c r="J8" i="7"/>
  <c r="D23" i="7"/>
  <c r="E23" i="7"/>
  <c r="F23" i="7"/>
  <c r="G23" i="7"/>
  <c r="C23" i="7"/>
  <c r="B20" i="7"/>
  <c r="B3" i="7"/>
  <c r="B3" i="6"/>
  <c r="K9" i="6"/>
  <c r="J12" i="6"/>
  <c r="J11" i="6"/>
  <c r="J10" i="6"/>
  <c r="J9" i="6"/>
  <c r="J8" i="6"/>
  <c r="G23" i="6"/>
  <c r="K11" i="6" s="1"/>
  <c r="F23" i="6"/>
  <c r="K10" i="6" s="1"/>
  <c r="E23" i="6"/>
  <c r="D23" i="6"/>
  <c r="K12" i="6" s="1"/>
  <c r="C23" i="6"/>
  <c r="K8" i="6" s="1"/>
  <c r="G38" i="8" l="1"/>
  <c r="F38" i="8"/>
  <c r="D38" i="8"/>
  <c r="F55" i="8"/>
  <c r="I48" i="8"/>
  <c r="B191" i="1"/>
  <c r="I137" i="1"/>
  <c r="B85" i="1"/>
  <c r="B75" i="1"/>
  <c r="B68" i="1"/>
  <c r="B62" i="1"/>
  <c r="B56" i="1"/>
  <c r="C46" i="1"/>
  <c r="F85" i="8" l="1"/>
  <c r="H85" i="8"/>
  <c r="E28" i="2"/>
  <c r="E27" i="2"/>
  <c r="E26" i="2"/>
  <c r="E25" i="2"/>
  <c r="E24" i="2"/>
  <c r="F24" i="2" s="1"/>
  <c r="G19" i="2"/>
  <c r="F19" i="2"/>
  <c r="E19" i="2"/>
  <c r="D19" i="2"/>
  <c r="C19" i="2"/>
  <c r="G18" i="2"/>
  <c r="C27" i="2" s="1"/>
  <c r="F18" i="2"/>
  <c r="C26" i="2" s="1"/>
  <c r="E18" i="2"/>
  <c r="C25" i="2" s="1"/>
  <c r="D18" i="2"/>
  <c r="C28" i="2" s="1"/>
  <c r="C18" i="2"/>
  <c r="C24" i="2" s="1"/>
  <c r="D24" i="2" s="1"/>
  <c r="D25" i="2" l="1"/>
  <c r="D26" i="2" s="1"/>
  <c r="D27" i="2" s="1"/>
  <c r="D28" i="2" s="1"/>
  <c r="F25" i="2"/>
  <c r="F26" i="2" s="1"/>
  <c r="F27" i="2" s="1"/>
  <c r="F28" i="2" s="1"/>
  <c r="G29" i="1" l="1"/>
  <c r="F29" i="1"/>
  <c r="E29" i="1"/>
  <c r="D29" i="1"/>
  <c r="B192" i="1" s="1"/>
  <c r="C29" i="1"/>
  <c r="G23" i="1"/>
  <c r="F23" i="1"/>
  <c r="E23" i="1"/>
  <c r="D23" i="1"/>
  <c r="C23" i="1"/>
  <c r="H38" i="1" l="1"/>
  <c r="G38" i="1"/>
  <c r="F38" i="1"/>
  <c r="E38" i="1"/>
  <c r="D38" i="1"/>
  <c r="C38" i="1"/>
  <c r="E37" i="1"/>
  <c r="D37" i="1"/>
  <c r="C37" i="1"/>
  <c r="H36" i="1"/>
  <c r="G36" i="1"/>
  <c r="F36" i="1"/>
  <c r="E36" i="1"/>
  <c r="D36" i="1"/>
  <c r="C36" i="1"/>
  <c r="M35" i="1"/>
  <c r="M65" i="1" s="1"/>
  <c r="M66" i="1" s="1"/>
  <c r="D107" i="1" s="1"/>
  <c r="L35" i="1"/>
  <c r="L65" i="1" s="1"/>
  <c r="L66" i="1" s="1"/>
  <c r="D106" i="1" s="1"/>
  <c r="K35" i="1"/>
  <c r="K65" i="1" s="1"/>
  <c r="K66" i="1" s="1"/>
  <c r="D105" i="1" s="1"/>
  <c r="J35" i="1"/>
  <c r="J65" i="1" s="1"/>
  <c r="J66" i="1" s="1"/>
  <c r="D104" i="1" s="1"/>
  <c r="I35" i="1"/>
  <c r="I65" i="1" s="1"/>
  <c r="I66" i="1" s="1"/>
  <c r="D103" i="1" s="1"/>
  <c r="K11" i="2" s="1"/>
  <c r="H35" i="1"/>
  <c r="H65" i="1" s="1"/>
  <c r="H66" i="1" s="1"/>
  <c r="D102" i="1" s="1"/>
  <c r="G35" i="1"/>
  <c r="G65" i="1" s="1"/>
  <c r="G66" i="1" s="1"/>
  <c r="D101" i="1" s="1"/>
  <c r="F35" i="1"/>
  <c r="F65" i="1" s="1"/>
  <c r="F66" i="1" s="1"/>
  <c r="D100" i="1" s="1"/>
  <c r="E35" i="1"/>
  <c r="E65" i="1" s="1"/>
  <c r="E66" i="1" s="1"/>
  <c r="D99" i="1" s="1"/>
  <c r="D35" i="1"/>
  <c r="D65" i="1" s="1"/>
  <c r="D66" i="1" s="1"/>
  <c r="D98" i="1" s="1"/>
  <c r="D171" i="1" s="1"/>
  <c r="C35" i="1"/>
  <c r="C64" i="1" s="1"/>
  <c r="C66" i="1" s="1"/>
  <c r="D97" i="1" s="1"/>
  <c r="M34" i="1"/>
  <c r="M59" i="1" s="1"/>
  <c r="M60" i="1" s="1"/>
  <c r="C107" i="1" s="1"/>
  <c r="L34" i="1"/>
  <c r="L59" i="1" s="1"/>
  <c r="L60" i="1" s="1"/>
  <c r="C106" i="1" s="1"/>
  <c r="K34" i="1"/>
  <c r="K59" i="1" s="1"/>
  <c r="K60" i="1" s="1"/>
  <c r="C105" i="1" s="1"/>
  <c r="J34" i="1"/>
  <c r="J59" i="1" s="1"/>
  <c r="J60" i="1" s="1"/>
  <c r="C104" i="1" s="1"/>
  <c r="I34" i="1"/>
  <c r="I59" i="1" s="1"/>
  <c r="I60" i="1" s="1"/>
  <c r="C103" i="1" s="1"/>
  <c r="H34" i="1"/>
  <c r="H59" i="1" s="1"/>
  <c r="H60" i="1" s="1"/>
  <c r="C102" i="1" s="1"/>
  <c r="G34" i="1"/>
  <c r="G59" i="1" s="1"/>
  <c r="G60" i="1" s="1"/>
  <c r="C101" i="1" s="1"/>
  <c r="F34" i="1"/>
  <c r="F59" i="1" s="1"/>
  <c r="F60" i="1" s="1"/>
  <c r="C100" i="1" s="1"/>
  <c r="E34" i="1"/>
  <c r="E59" i="1" s="1"/>
  <c r="E60" i="1" s="1"/>
  <c r="C99" i="1" s="1"/>
  <c r="D34" i="1"/>
  <c r="D59" i="1" s="1"/>
  <c r="D60" i="1" s="1"/>
  <c r="C98" i="1" s="1"/>
  <c r="C34" i="1"/>
  <c r="C58" i="1" s="1"/>
  <c r="C60" i="1" s="1"/>
  <c r="C97" i="1" s="1"/>
  <c r="C170" i="1" l="1"/>
  <c r="J97" i="1"/>
  <c r="D170" i="1"/>
  <c r="K5" i="2"/>
  <c r="M29" i="2" s="1"/>
  <c r="J10" i="2"/>
  <c r="C175" i="1"/>
  <c r="K7" i="2"/>
  <c r="D172" i="1"/>
  <c r="D195" i="1" s="1"/>
  <c r="K15" i="2"/>
  <c r="D180" i="1"/>
  <c r="J11" i="2"/>
  <c r="C176" i="1"/>
  <c r="K8" i="2"/>
  <c r="D173" i="1"/>
  <c r="K12" i="2"/>
  <c r="D177" i="1"/>
  <c r="J8" i="2"/>
  <c r="C173" i="1"/>
  <c r="J12" i="2"/>
  <c r="C177" i="1"/>
  <c r="K9" i="2"/>
  <c r="D174" i="1"/>
  <c r="K13" i="2"/>
  <c r="D178" i="1"/>
  <c r="J6" i="2"/>
  <c r="C171" i="1"/>
  <c r="C190" i="1"/>
  <c r="J14" i="2"/>
  <c r="C179" i="1"/>
  <c r="D176" i="1"/>
  <c r="J7" i="2"/>
  <c r="C172" i="1"/>
  <c r="J15" i="2"/>
  <c r="C180" i="1"/>
  <c r="J9" i="2"/>
  <c r="C174" i="1"/>
  <c r="J13" i="2"/>
  <c r="C178" i="1"/>
  <c r="K10" i="2"/>
  <c r="D175" i="1"/>
  <c r="K14" i="2"/>
  <c r="D179" i="1"/>
  <c r="J5" i="2"/>
  <c r="M25" i="2" s="1"/>
  <c r="N25" i="2" s="1"/>
  <c r="D189" i="1"/>
  <c r="K6" i="2"/>
  <c r="C189" i="1"/>
  <c r="D190" i="1"/>
  <c r="C132" i="1"/>
  <c r="C156" i="1" s="1"/>
  <c r="D156" i="1" s="1"/>
  <c r="J104" i="1"/>
  <c r="C125" i="1"/>
  <c r="E130" i="1"/>
  <c r="F154" i="1" s="1"/>
  <c r="G154" i="1" s="1"/>
  <c r="C134" i="1"/>
  <c r="C158" i="1" s="1"/>
  <c r="D158" i="1" s="1"/>
  <c r="J106" i="1"/>
  <c r="C127" i="1"/>
  <c r="C151" i="1" s="1"/>
  <c r="D151" i="1" s="1"/>
  <c r="J99" i="1"/>
  <c r="E132" i="1"/>
  <c r="F156" i="1" s="1"/>
  <c r="G156" i="1" s="1"/>
  <c r="E125" i="1"/>
  <c r="C129" i="1"/>
  <c r="C153" i="1" s="1"/>
  <c r="D153" i="1" s="1"/>
  <c r="J101" i="1"/>
  <c r="E134" i="1"/>
  <c r="F158" i="1" s="1"/>
  <c r="G158" i="1" s="1"/>
  <c r="C130" i="1"/>
  <c r="C137" i="1" s="1"/>
  <c r="J102" i="1"/>
  <c r="E127" i="1"/>
  <c r="F151" i="1" s="1"/>
  <c r="G151" i="1" s="1"/>
  <c r="E135" i="1"/>
  <c r="F159" i="1" s="1"/>
  <c r="G159" i="1" s="1"/>
  <c r="E129" i="1"/>
  <c r="F153" i="1" s="1"/>
  <c r="G153" i="1" s="1"/>
  <c r="C133" i="1"/>
  <c r="C157" i="1" s="1"/>
  <c r="D157" i="1" s="1"/>
  <c r="J105" i="1"/>
  <c r="C126" i="1"/>
  <c r="C150" i="1" s="1"/>
  <c r="D150" i="1" s="1"/>
  <c r="J98" i="1"/>
  <c r="E131" i="1"/>
  <c r="C135" i="1"/>
  <c r="C159" i="1" s="1"/>
  <c r="D159" i="1" s="1"/>
  <c r="D161" i="1" s="1"/>
  <c r="J107" i="1"/>
  <c r="C128" i="1"/>
  <c r="C152" i="1" s="1"/>
  <c r="D152" i="1" s="1"/>
  <c r="J100" i="1"/>
  <c r="E133" i="1"/>
  <c r="F157" i="1" s="1"/>
  <c r="G157" i="1" s="1"/>
  <c r="C131" i="1"/>
  <c r="C155" i="1" s="1"/>
  <c r="J103" i="1"/>
  <c r="E128" i="1"/>
  <c r="F152" i="1" s="1"/>
  <c r="G152" i="1" s="1"/>
  <c r="E126" i="1"/>
  <c r="F150" i="1" s="1"/>
  <c r="G150" i="1" s="1"/>
  <c r="D118" i="1"/>
  <c r="D112" i="1"/>
  <c r="C112" i="1"/>
  <c r="C118" i="1"/>
  <c r="B196" i="1" s="1"/>
  <c r="H89" i="1"/>
  <c r="C87" i="1"/>
  <c r="C90" i="1" s="1"/>
  <c r="K89" i="1"/>
  <c r="K90" i="1" s="1"/>
  <c r="F88" i="1"/>
  <c r="F90" i="1" s="1"/>
  <c r="G100" i="1" s="1"/>
  <c r="G173" i="1" s="1"/>
  <c r="G88" i="1"/>
  <c r="G90" i="1" s="1"/>
  <c r="L89" i="1"/>
  <c r="L90" i="1" s="1"/>
  <c r="G106" i="1" s="1"/>
  <c r="G179" i="1" s="1"/>
  <c r="M89" i="1"/>
  <c r="M90" i="1" s="1"/>
  <c r="G107" i="1" s="1"/>
  <c r="G180" i="1" s="1"/>
  <c r="H88" i="1"/>
  <c r="D88" i="1"/>
  <c r="D90" i="1" s="1"/>
  <c r="G98" i="1" s="1"/>
  <c r="I89" i="1"/>
  <c r="I90" i="1" s="1"/>
  <c r="G103" i="1" s="1"/>
  <c r="G176" i="1" s="1"/>
  <c r="E88" i="1"/>
  <c r="E90" i="1" s="1"/>
  <c r="J89" i="1"/>
  <c r="J90" i="1" s="1"/>
  <c r="G104" i="1" s="1"/>
  <c r="G177" i="1" s="1"/>
  <c r="I80" i="1"/>
  <c r="M82" i="1"/>
  <c r="M83" i="1" s="1"/>
  <c r="G79" i="1"/>
  <c r="K81" i="1"/>
  <c r="E78" i="1"/>
  <c r="E71" i="1"/>
  <c r="E73" i="1" s="1"/>
  <c r="J72" i="1"/>
  <c r="J73" i="1" s="1"/>
  <c r="K72" i="1"/>
  <c r="K73" i="1" s="1"/>
  <c r="E105" i="1" s="1"/>
  <c r="F71" i="1"/>
  <c r="F73" i="1" s="1"/>
  <c r="G71" i="1"/>
  <c r="G73" i="1" s="1"/>
  <c r="L72" i="1"/>
  <c r="L73" i="1" s="1"/>
  <c r="M72" i="1"/>
  <c r="M73" i="1" s="1"/>
  <c r="H71" i="1"/>
  <c r="I81" i="1"/>
  <c r="C77" i="1"/>
  <c r="C83" i="1" s="1"/>
  <c r="G80" i="1"/>
  <c r="K82" i="1"/>
  <c r="E79" i="1"/>
  <c r="C70" i="1"/>
  <c r="C73" i="1" s="1"/>
  <c r="H72" i="1"/>
  <c r="D71" i="1"/>
  <c r="D73" i="1" s="1"/>
  <c r="I72" i="1"/>
  <c r="I73" i="1" s="1"/>
  <c r="D78" i="1"/>
  <c r="D83" i="1" s="1"/>
  <c r="H80" i="1"/>
  <c r="H83" i="1" s="1"/>
  <c r="L82" i="1"/>
  <c r="L83" i="1" s="1"/>
  <c r="F79" i="1"/>
  <c r="F83" i="1" s="1"/>
  <c r="J81" i="1"/>
  <c r="J83" i="1" s="1"/>
  <c r="C191" i="1" l="1"/>
  <c r="C195" i="1"/>
  <c r="D196" i="1"/>
  <c r="C196" i="1"/>
  <c r="C199" i="1"/>
  <c r="C192" i="1"/>
  <c r="C193" i="1"/>
  <c r="D193" i="1"/>
  <c r="D199" i="1"/>
  <c r="D191" i="1"/>
  <c r="D192" i="1"/>
  <c r="L13" i="2"/>
  <c r="E178" i="1"/>
  <c r="N6" i="2"/>
  <c r="G171" i="1"/>
  <c r="K18" i="2"/>
  <c r="K29" i="2" s="1"/>
  <c r="J18" i="2"/>
  <c r="K25" i="2" s="1"/>
  <c r="L25" i="2" s="1"/>
  <c r="K19" i="2"/>
  <c r="J19" i="2"/>
  <c r="N12" i="2"/>
  <c r="N11" i="2"/>
  <c r="N14" i="2"/>
  <c r="K128" i="1"/>
  <c r="O152" i="1" s="1"/>
  <c r="P152" i="1" s="1"/>
  <c r="N8" i="2"/>
  <c r="N15" i="2"/>
  <c r="K126" i="1"/>
  <c r="O150" i="1" s="1"/>
  <c r="P150" i="1" s="1"/>
  <c r="D155" i="1"/>
  <c r="M107" i="1"/>
  <c r="R107" i="1"/>
  <c r="C154" i="1"/>
  <c r="D154" i="1" s="1"/>
  <c r="F125" i="1"/>
  <c r="F126" i="1" s="1"/>
  <c r="F127" i="1" s="1"/>
  <c r="F128" i="1" s="1"/>
  <c r="F129" i="1" s="1"/>
  <c r="F149" i="1"/>
  <c r="D183" i="1" s="1"/>
  <c r="D125" i="1"/>
  <c r="D126" i="1" s="1"/>
  <c r="D127" i="1" s="1"/>
  <c r="D128" i="1" s="1"/>
  <c r="D129" i="1" s="1"/>
  <c r="C149" i="1"/>
  <c r="C183" i="1" s="1"/>
  <c r="E137" i="1"/>
  <c r="F155" i="1"/>
  <c r="J118" i="1"/>
  <c r="R103" i="1"/>
  <c r="R98" i="1"/>
  <c r="R106" i="1"/>
  <c r="J112" i="1"/>
  <c r="M103" i="1"/>
  <c r="M104" i="1"/>
  <c r="P105" i="1"/>
  <c r="K105" i="1"/>
  <c r="R104" i="1"/>
  <c r="M98" i="1"/>
  <c r="R100" i="1"/>
  <c r="M100" i="1"/>
  <c r="M106" i="1"/>
  <c r="H90" i="1"/>
  <c r="E103" i="1"/>
  <c r="F100" i="1"/>
  <c r="F173" i="1" s="1"/>
  <c r="E101" i="1"/>
  <c r="F107" i="1"/>
  <c r="F180" i="1" s="1"/>
  <c r="F106" i="1"/>
  <c r="F179" i="1" s="1"/>
  <c r="E100" i="1"/>
  <c r="F102" i="1"/>
  <c r="G97" i="1"/>
  <c r="G170" i="1" s="1"/>
  <c r="F98" i="1"/>
  <c r="F97" i="1"/>
  <c r="F170" i="1" s="1"/>
  <c r="E104" i="1"/>
  <c r="G101" i="1"/>
  <c r="E99" i="1"/>
  <c r="E98" i="1"/>
  <c r="G99" i="1"/>
  <c r="G105" i="1"/>
  <c r="G178" i="1" s="1"/>
  <c r="E107" i="1"/>
  <c r="K83" i="1"/>
  <c r="F104" i="1"/>
  <c r="F177" i="1" s="1"/>
  <c r="E97" i="1"/>
  <c r="E170" i="1" s="1"/>
  <c r="E106" i="1"/>
  <c r="G83" i="1"/>
  <c r="H73" i="1"/>
  <c r="E83" i="1"/>
  <c r="I83" i="1"/>
  <c r="M10" i="2" l="1"/>
  <c r="F175" i="1"/>
  <c r="L6" i="2"/>
  <c r="E171" i="1"/>
  <c r="L14" i="2"/>
  <c r="E179" i="1"/>
  <c r="L15" i="2"/>
  <c r="E180" i="1"/>
  <c r="L7" i="2"/>
  <c r="E172" i="1"/>
  <c r="M6" i="2"/>
  <c r="F171" i="1"/>
  <c r="L11" i="2"/>
  <c r="E176" i="1"/>
  <c r="N7" i="2"/>
  <c r="G172" i="1"/>
  <c r="L12" i="2"/>
  <c r="E177" i="1"/>
  <c r="L9" i="2"/>
  <c r="E174" i="1"/>
  <c r="L8" i="2"/>
  <c r="E173" i="1"/>
  <c r="N9" i="2"/>
  <c r="G174" i="1"/>
  <c r="F130" i="1"/>
  <c r="M5" i="2"/>
  <c r="M26" i="2" s="1"/>
  <c r="N26" i="2" s="1"/>
  <c r="L5" i="2"/>
  <c r="M27" i="2" s="1"/>
  <c r="N5" i="2"/>
  <c r="M28" i="2" s="1"/>
  <c r="Y104" i="1"/>
  <c r="M12" i="2"/>
  <c r="Y100" i="1"/>
  <c r="M8" i="2"/>
  <c r="V105" i="1"/>
  <c r="N13" i="2"/>
  <c r="Y107" i="1"/>
  <c r="M15" i="2"/>
  <c r="Y106" i="1"/>
  <c r="M14" i="2"/>
  <c r="Y98" i="1"/>
  <c r="Y97" i="1"/>
  <c r="G155" i="1"/>
  <c r="G149" i="1"/>
  <c r="H149" i="1" s="1"/>
  <c r="H150" i="1" s="1"/>
  <c r="H151" i="1" s="1"/>
  <c r="H152" i="1" s="1"/>
  <c r="H153" i="1" s="1"/>
  <c r="H154" i="1" s="1"/>
  <c r="D130" i="1"/>
  <c r="D131" i="1" s="1"/>
  <c r="D132" i="1" s="1"/>
  <c r="D133" i="1" s="1"/>
  <c r="D134" i="1" s="1"/>
  <c r="D135" i="1" s="1"/>
  <c r="C138" i="1"/>
  <c r="D138" i="1" s="1"/>
  <c r="D149" i="1"/>
  <c r="E149" i="1" s="1"/>
  <c r="E150" i="1" s="1"/>
  <c r="E151" i="1" s="1"/>
  <c r="E152" i="1" s="1"/>
  <c r="E153" i="1" s="1"/>
  <c r="E154" i="1" s="1"/>
  <c r="E155" i="1" s="1"/>
  <c r="V98" i="1"/>
  <c r="U98" i="1"/>
  <c r="U100" i="1"/>
  <c r="V100" i="1"/>
  <c r="V106" i="1"/>
  <c r="U106" i="1"/>
  <c r="V99" i="1"/>
  <c r="U97" i="1"/>
  <c r="V97" i="1"/>
  <c r="U104" i="1"/>
  <c r="V104" i="1"/>
  <c r="V101" i="1"/>
  <c r="V107" i="1"/>
  <c r="U107" i="1"/>
  <c r="V103" i="1"/>
  <c r="K129" i="1"/>
  <c r="M101" i="1"/>
  <c r="R101" i="1"/>
  <c r="L107" i="1"/>
  <c r="Q107" i="1"/>
  <c r="L104" i="1"/>
  <c r="Q104" i="1"/>
  <c r="P104" i="1"/>
  <c r="K104" i="1"/>
  <c r="G129" i="1"/>
  <c r="I153" i="1" s="1"/>
  <c r="J153" i="1" s="1"/>
  <c r="P101" i="1"/>
  <c r="K101" i="1"/>
  <c r="I125" i="1"/>
  <c r="L97" i="1"/>
  <c r="Q97" i="1"/>
  <c r="L100" i="1"/>
  <c r="Q100" i="1"/>
  <c r="K107" i="1"/>
  <c r="P107" i="1"/>
  <c r="I126" i="1"/>
  <c r="L150" i="1" s="1"/>
  <c r="M150" i="1" s="1"/>
  <c r="L98" i="1"/>
  <c r="Q98" i="1"/>
  <c r="K103" i="1"/>
  <c r="P103" i="1"/>
  <c r="R105" i="1"/>
  <c r="M105" i="1"/>
  <c r="K125" i="1"/>
  <c r="R97" i="1"/>
  <c r="M97" i="1"/>
  <c r="P106" i="1"/>
  <c r="K106" i="1"/>
  <c r="K127" i="1"/>
  <c r="O151" i="1" s="1"/>
  <c r="P151" i="1" s="1"/>
  <c r="R99" i="1"/>
  <c r="M99" i="1"/>
  <c r="L102" i="1"/>
  <c r="Q102" i="1"/>
  <c r="G126" i="1"/>
  <c r="I150" i="1" s="1"/>
  <c r="J150" i="1" s="1"/>
  <c r="P98" i="1"/>
  <c r="K98" i="1"/>
  <c r="G128" i="1"/>
  <c r="K100" i="1"/>
  <c r="P100" i="1"/>
  <c r="G125" i="1"/>
  <c r="K97" i="1"/>
  <c r="P97" i="1"/>
  <c r="G127" i="1"/>
  <c r="I151" i="1" s="1"/>
  <c r="J151" i="1" s="1"/>
  <c r="P99" i="1"/>
  <c r="K99" i="1"/>
  <c r="L106" i="1"/>
  <c r="Q106" i="1"/>
  <c r="G102" i="1"/>
  <c r="F101" i="1"/>
  <c r="F103" i="1"/>
  <c r="F176" i="1" s="1"/>
  <c r="F105" i="1"/>
  <c r="F99" i="1"/>
  <c r="F172" i="1" s="1"/>
  <c r="E102" i="1"/>
  <c r="M13" i="2" l="1"/>
  <c r="F178" i="1"/>
  <c r="G175" i="1"/>
  <c r="G192" i="1" s="1"/>
  <c r="E175" i="1"/>
  <c r="E192" i="1" s="1"/>
  <c r="M9" i="2"/>
  <c r="F174" i="1"/>
  <c r="F191" i="1" s="1"/>
  <c r="E138" i="1"/>
  <c r="F138" i="1" s="1"/>
  <c r="F131" i="1"/>
  <c r="F132" i="1" s="1"/>
  <c r="F133" i="1" s="1"/>
  <c r="F134" i="1" s="1"/>
  <c r="F135" i="1" s="1"/>
  <c r="N27" i="2"/>
  <c r="N28" i="2" s="1"/>
  <c r="N29" i="2" s="1"/>
  <c r="F189" i="1"/>
  <c r="M7" i="2"/>
  <c r="Y103" i="1"/>
  <c r="M11" i="2"/>
  <c r="G189" i="1"/>
  <c r="N10" i="2"/>
  <c r="E190" i="1"/>
  <c r="L10" i="2"/>
  <c r="E189" i="1"/>
  <c r="H155" i="1"/>
  <c r="H156" i="1" s="1"/>
  <c r="H157" i="1" s="1"/>
  <c r="H158" i="1" s="1"/>
  <c r="H159" i="1" s="1"/>
  <c r="F190" i="1"/>
  <c r="Y102" i="1"/>
  <c r="G190" i="1"/>
  <c r="U103" i="1"/>
  <c r="J125" i="1"/>
  <c r="J126" i="1" s="1"/>
  <c r="L149" i="1"/>
  <c r="E156" i="1"/>
  <c r="E157" i="1" s="1"/>
  <c r="E158" i="1" s="1"/>
  <c r="U101" i="1"/>
  <c r="Y101" i="1"/>
  <c r="L125" i="1"/>
  <c r="L126" i="1" s="1"/>
  <c r="L127" i="1" s="1"/>
  <c r="L128" i="1" s="1"/>
  <c r="O149" i="1"/>
  <c r="H125" i="1"/>
  <c r="H126" i="1" s="1"/>
  <c r="H127" i="1" s="1"/>
  <c r="I149" i="1"/>
  <c r="U99" i="1"/>
  <c r="Y99" i="1"/>
  <c r="I152" i="1"/>
  <c r="J152" i="1" s="1"/>
  <c r="G137" i="1"/>
  <c r="O153" i="1"/>
  <c r="P153" i="1" s="1"/>
  <c r="K137" i="1"/>
  <c r="U105" i="1"/>
  <c r="Y105" i="1"/>
  <c r="V102" i="1"/>
  <c r="U102" i="1"/>
  <c r="O154" i="1"/>
  <c r="P154" i="1" s="1"/>
  <c r="M102" i="1"/>
  <c r="M112" i="1" s="1"/>
  <c r="R102" i="1"/>
  <c r="R118" i="1" s="1"/>
  <c r="L151" i="1"/>
  <c r="M151" i="1" s="1"/>
  <c r="M161" i="1" s="1"/>
  <c r="Q99" i="1"/>
  <c r="L99" i="1"/>
  <c r="Q105" i="1"/>
  <c r="L105" i="1"/>
  <c r="P102" i="1"/>
  <c r="K102" i="1"/>
  <c r="K118" i="1" s="1"/>
  <c r="Q103" i="1"/>
  <c r="L103" i="1"/>
  <c r="Q101" i="1"/>
  <c r="L101" i="1"/>
  <c r="G118" i="1"/>
  <c r="B194" i="1" s="1"/>
  <c r="E118" i="1"/>
  <c r="B197" i="1" s="1"/>
  <c r="I154" i="1"/>
  <c r="J154" i="1" s="1"/>
  <c r="J161" i="1" s="1"/>
  <c r="G112" i="1"/>
  <c r="F112" i="1"/>
  <c r="F118" i="1"/>
  <c r="B198" i="1" s="1"/>
  <c r="E112" i="1"/>
  <c r="F196" i="1" l="1"/>
  <c r="G196" i="1"/>
  <c r="E195" i="1"/>
  <c r="F195" i="1"/>
  <c r="G195" i="1"/>
  <c r="E196" i="1"/>
  <c r="G193" i="1"/>
  <c r="G191" i="1"/>
  <c r="G199" i="1"/>
  <c r="D197" i="1"/>
  <c r="C197" i="1"/>
  <c r="G197" i="1"/>
  <c r="E197" i="1"/>
  <c r="F197" i="1"/>
  <c r="E199" i="1"/>
  <c r="E191" i="1"/>
  <c r="F192" i="1"/>
  <c r="E198" i="1"/>
  <c r="F198" i="1"/>
  <c r="G198" i="1"/>
  <c r="D198" i="1"/>
  <c r="C198" i="1"/>
  <c r="F194" i="1"/>
  <c r="G194" i="1"/>
  <c r="D194" i="1"/>
  <c r="C194" i="1"/>
  <c r="E194" i="1"/>
  <c r="F199" i="1"/>
  <c r="F193" i="1"/>
  <c r="E193" i="1"/>
  <c r="N18" i="2"/>
  <c r="K28" i="2" s="1"/>
  <c r="N19" i="2"/>
  <c r="L18" i="2"/>
  <c r="K27" i="2" s="1"/>
  <c r="L19" i="2"/>
  <c r="J127" i="1"/>
  <c r="I138" i="1" s="1"/>
  <c r="M19" i="2"/>
  <c r="M18" i="2"/>
  <c r="K26" i="2" s="1"/>
  <c r="L26" i="2" s="1"/>
  <c r="L27" i="2" s="1"/>
  <c r="Y112" i="1"/>
  <c r="Y118" i="1"/>
  <c r="L129" i="1"/>
  <c r="L130" i="1" s="1"/>
  <c r="K138" i="1"/>
  <c r="L138" i="1" s="1"/>
  <c r="J149" i="1"/>
  <c r="K149" i="1" s="1"/>
  <c r="K150" i="1" s="1"/>
  <c r="K151" i="1" s="1"/>
  <c r="K152" i="1" s="1"/>
  <c r="K153" i="1" s="1"/>
  <c r="E183" i="1"/>
  <c r="H128" i="1"/>
  <c r="H129" i="1" s="1"/>
  <c r="H130" i="1" s="1"/>
  <c r="G138" i="1"/>
  <c r="H138" i="1" s="1"/>
  <c r="P149" i="1"/>
  <c r="Q149" i="1" s="1"/>
  <c r="Q150" i="1" s="1"/>
  <c r="Q151" i="1" s="1"/>
  <c r="Q152" i="1" s="1"/>
  <c r="Q153" i="1" s="1"/>
  <c r="Q154" i="1" s="1"/>
  <c r="G183" i="1"/>
  <c r="D162" i="1"/>
  <c r="E159" i="1"/>
  <c r="U118" i="1"/>
  <c r="M149" i="1"/>
  <c r="N149" i="1" s="1"/>
  <c r="N150" i="1" s="1"/>
  <c r="F183" i="1"/>
  <c r="R112" i="1"/>
  <c r="L112" i="1"/>
  <c r="L118" i="1"/>
  <c r="P118" i="1"/>
  <c r="K112" i="1"/>
  <c r="V112" i="1"/>
  <c r="Q118" i="1"/>
  <c r="V118" i="1"/>
  <c r="M118" i="1"/>
  <c r="P112" i="1"/>
  <c r="Q112" i="1"/>
  <c r="U112" i="1"/>
  <c r="K154" i="1" l="1"/>
  <c r="J162" i="1"/>
  <c r="N151" i="1"/>
  <c r="M162" i="1"/>
  <c r="N162" i="1" s="1"/>
  <c r="J138" i="1"/>
  <c r="L28" i="2"/>
  <c r="L29" i="2" s="1"/>
  <c r="E162" i="1"/>
  <c r="K162" i="1"/>
</calcChain>
</file>

<file path=xl/sharedStrings.xml><?xml version="1.0" encoding="utf-8"?>
<sst xmlns="http://schemas.openxmlformats.org/spreadsheetml/2006/main" count="569" uniqueCount="125">
  <si>
    <t>TASA DE OPORTUNIDAD</t>
  </si>
  <si>
    <t>AÑO</t>
  </si>
  <si>
    <t>PROYECTO 1</t>
  </si>
  <si>
    <t>PROYECTO 2</t>
  </si>
  <si>
    <t>PROYECTO 3</t>
  </si>
  <si>
    <t>PROYECTO 4</t>
  </si>
  <si>
    <t>PROYECTO 5</t>
  </si>
  <si>
    <t>VPN</t>
  </si>
  <si>
    <t>TIR</t>
  </si>
  <si>
    <t>Flujos netos</t>
  </si>
  <si>
    <t>Fujos</t>
  </si>
  <si>
    <t>Inversion</t>
  </si>
  <si>
    <t>Flujos</t>
  </si>
  <si>
    <t>Flujo Neto</t>
  </si>
  <si>
    <t>Fjujos netos</t>
  </si>
  <si>
    <t>Fujos netos</t>
  </si>
  <si>
    <t>FLUJO</t>
  </si>
  <si>
    <t>SALDO</t>
  </si>
  <si>
    <t>INTERESES</t>
  </si>
  <si>
    <t>P1-P2</t>
  </si>
  <si>
    <t>P1-P3</t>
  </si>
  <si>
    <t>P1-P4</t>
  </si>
  <si>
    <t>P1-P5</t>
  </si>
  <si>
    <t xml:space="preserve">ANALISIS INCREMENTAL </t>
  </si>
  <si>
    <t>P2-P3</t>
  </si>
  <si>
    <t>P2-P4</t>
  </si>
  <si>
    <t>P2-P5</t>
  </si>
  <si>
    <t>P3-P4</t>
  </si>
  <si>
    <t>P3-P5</t>
  </si>
  <si>
    <t>P4-P5</t>
  </si>
  <si>
    <t>234 Dias</t>
  </si>
  <si>
    <t>El PROYECTO  1 se recupera en:
4 años y 8 meses.</t>
  </si>
  <si>
    <t>El PROYECTO 3 se recupera en:
3 años.</t>
  </si>
  <si>
    <t>154 Dias</t>
  </si>
  <si>
    <t>FLUJO A
 VALOR PRESENTE</t>
  </si>
  <si>
    <t>244 Dias</t>
  </si>
  <si>
    <t>El PROYECTO  1 se recupera en:
9 años y 8 meses.</t>
  </si>
  <si>
    <t>El PROYECTO 2 no se recupera dentro:
De los 10 años.</t>
  </si>
  <si>
    <t>CAE</t>
  </si>
  <si>
    <t xml:space="preserve">PROYECTO A INVERTIR: </t>
  </si>
  <si>
    <t xml:space="preserve">CAPITAL DE INVERSION </t>
  </si>
  <si>
    <t>TOTAL VPN</t>
  </si>
  <si>
    <t>INVERSION</t>
  </si>
  <si>
    <t>TOTAL INVERSION</t>
  </si>
  <si>
    <t>a.- VPN para cada proyecto.</t>
  </si>
  <si>
    <t>b.- TIR para cada proyecto.</t>
  </si>
  <si>
    <t>d.- Comparacion de proyectos llevandolos a la misma vida util.</t>
  </si>
  <si>
    <t>10 / 10</t>
  </si>
  <si>
    <t>1 vez</t>
  </si>
  <si>
    <t>10 / 5</t>
  </si>
  <si>
    <t>2 veces</t>
  </si>
  <si>
    <t>10 / 2</t>
  </si>
  <si>
    <t>5 veces</t>
  </si>
  <si>
    <t>VIDA UTIL</t>
  </si>
  <si>
    <t>M.C.M.</t>
  </si>
  <si>
    <t xml:space="preserve">Flujos </t>
  </si>
  <si>
    <t>c.- Analisis Incremental.</t>
  </si>
  <si>
    <t>158 Dias</t>
  </si>
  <si>
    <t>El PROYECTO 2 se recupera en:
5 años y 5 meses.</t>
  </si>
  <si>
    <t>180 Dias</t>
  </si>
  <si>
    <t>360 Dias</t>
  </si>
  <si>
    <t>El PROYECTO 4 se recupera en:
1 año y 6 meses.</t>
  </si>
  <si>
    <t>310 Dias</t>
  </si>
  <si>
    <t>El PROYECTO  3 se recupera en:
4 años y 10 meses.</t>
  </si>
  <si>
    <t>350 Dias</t>
  </si>
  <si>
    <t>El PROYECTO  5 no se recupera dentro:
De los 5 años.</t>
  </si>
  <si>
    <t>g.- Beneficio Anual Equivalente.</t>
  </si>
  <si>
    <t>CONCLUSION</t>
  </si>
  <si>
    <t>Amber puede invertir en los PROYECTOS 1, 4 y 3 obteniendo utilidad y estando dentro del capital.
No denera invertir en los PROYECTOS 5 y 2 por que no generan utilidad a pesar que que el capital lo permite en el sao del PROYECTO 5.</t>
  </si>
  <si>
    <t>Unifirmizacion  de vidas utiles</t>
  </si>
  <si>
    <t>Obtenner los años de vida util de los proyectos</t>
  </si>
  <si>
    <t>Determinar el  el Minimo Común Multiplo</t>
  </si>
  <si>
    <t xml:space="preserve"> Divida el MCM entre los años de vida util de cada proyecto, la cifra resultante sera el numero de veces que debera repetirse cada uno de ellos.</t>
  </si>
  <si>
    <t>Planteamiento de flujos netos.</t>
  </si>
  <si>
    <t>VPN por proyecto en igual vida util</t>
  </si>
  <si>
    <t>TIR por proyecto en igual vida util.</t>
  </si>
  <si>
    <t>e.- Tiempo de recuperacion del capital sin considerar el valor del dinero en el tiempo.</t>
  </si>
  <si>
    <t>f.- Tiempo de recuperacion del capital considerando el valor del dimero en el tiempo.</t>
  </si>
  <si>
    <t>i.- Variacion de tasa de oportunidad, determinacion del comportamiento de los proyectos.</t>
  </si>
  <si>
    <t>ORDEN</t>
  </si>
  <si>
    <t>Tasa Interna de Retorno de cada proyecto.</t>
  </si>
  <si>
    <t>Valor Presente Neto de cada proyecto.</t>
  </si>
  <si>
    <t>Análisis Incremental.</t>
  </si>
  <si>
    <t>Comparacion de proyectos llevandolos a la misma vida util.</t>
  </si>
  <si>
    <t>Tiempo  de recuperacion del capital  sin considerar el valor del dinero en el tiempo.</t>
  </si>
  <si>
    <t>Tiempo  de recuperacion del capital  considerando el valor del dinero en el tiempo.</t>
  </si>
  <si>
    <t>Beneficio Anual Equivalente.</t>
  </si>
  <si>
    <t>Determinar cual de los proyectos resulta mejor para invertir.</t>
  </si>
  <si>
    <t xml:space="preserve">Considerando que la tasa de oportunidad pueda variar, desarrolle un cuadro en el que 
se determine el comportamiento de los proyectos con la variación de la tasa. </t>
  </si>
  <si>
    <t>1.- CONSIDERACION DE PROYECTOS EXCLUYENTES.</t>
  </si>
  <si>
    <t>2.- CONSIDERACION DE PROYECTOS INDEPENDIENTES.</t>
  </si>
  <si>
    <t>La empresa Amber se encuentra analizando varias alternativas para la realizacion de una
 inversion y requiere determinar cual de ellas debe llevarse a cabo de modo que le ofrezca 
a la empresa el mayor valor ganado posible.</t>
  </si>
  <si>
    <t>Si la empresa Amber tiene un capital para invertir de $ 4.000.000 y los proyectos son
independientes, es decir puede llevarse a cabo sin afectar a los demas, determine 
el orden en que deberia realizarse la inversion para obtener mayor rentabilidad 
para la empresa.</t>
  </si>
  <si>
    <t>PROYECTO</t>
  </si>
  <si>
    <t>ORDENAMIENTO</t>
  </si>
  <si>
    <t>EVALUACION DE PROYECTOS AMBER</t>
  </si>
  <si>
    <t>Al realizar el anallisis incremental correspondiente determinamos que la rentabilidad maxima se presenta por parte de PROYECTO 1.</t>
  </si>
  <si>
    <t>El PROYECTO 5 se recupera en:
3 años y 5 meses.</t>
  </si>
  <si>
    <t>CAPITAL</t>
  </si>
  <si>
    <t>Proyectos Independietes.</t>
  </si>
  <si>
    <t>PROYECTOS</t>
  </si>
  <si>
    <t xml:space="preserve">VPN </t>
  </si>
  <si>
    <t xml:space="preserve">
VIDA UTIL PLANTEADA</t>
  </si>
  <si>
    <t>UNIFIRMIZACION DE 
VIDA UTIL</t>
  </si>
  <si>
    <t>ANALISIS 
INCREMENTAL</t>
  </si>
  <si>
    <t>BENEFICIO ANUAL EQUIVALENTE.</t>
  </si>
  <si>
    <t>10 Años</t>
  </si>
  <si>
    <t>5 Años</t>
  </si>
  <si>
    <t>2 Años</t>
  </si>
  <si>
    <t>Determina:
PROYECTO 1 mas factible.</t>
  </si>
  <si>
    <t>4 años y 8 meses.</t>
  </si>
  <si>
    <t>5 años y 5 meses.</t>
  </si>
  <si>
    <t>3 años.</t>
  </si>
  <si>
    <t>1 año y 6 meses.</t>
  </si>
  <si>
    <t>3 años y 5 meses.</t>
  </si>
  <si>
    <t xml:space="preserve">TIEMPO RECUPERACION DEL CAPITAL SIN CONSIDERAR EL VALOR DEL DINERO. </t>
  </si>
  <si>
    <t xml:space="preserve">TIEMPO RECUPERACION DEL CAPITAL  CONSIDERANDO EL VALOR DEL DINERO. </t>
  </si>
  <si>
    <t>9 años y 8 meses.</t>
  </si>
  <si>
    <t>No es recuperable en 10 años.</t>
  </si>
  <si>
    <t>4 años y 10 meses.</t>
  </si>
  <si>
    <t>El PROYECTO  1 se recupera en:
1 años y 11 meses.</t>
  </si>
  <si>
    <t>1 años y 11 meses.</t>
  </si>
  <si>
    <t>No es recuperable en 5 años.</t>
  </si>
  <si>
    <t>Determinacion.</t>
  </si>
  <si>
    <t>SE ELIJE AL PROYECTO 1 COMO EL PROYECTO MAS RENTABLE TOMANDO EN CUENTA TODAS LAS CONSIDERACIONES NECESARIAS.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</si>
</sst>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$&quot;\ #,##0_);[Red]\(&quot;$&quot;\ #,##0\)"/>
    <numFmt numFmtId="165" formatCode="&quot;$&quot;\ #,##0.00_);[Red]\(&quot;$&quot;\ #,##0.00\)"/>
    <numFmt numFmtId="166" formatCode="_(&quot;$&quot;\ * #,##0.00_);_(&quot;$&quot;\ * \(#,##0.00\);_(&quot;$&quot;\ * &quot;-&quot;??_);_(@_)"/>
    <numFmt numFmtId="167" formatCode="#,##0.00;[Red]#,##0.00"/>
    <numFmt numFmtId="168" formatCode="0.000%"/>
  </numFmts>
  <fonts count="15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8"/>
      <name val="Century Gothic"/>
      <family val="2"/>
      <scheme val="minor"/>
    </font>
    <font>
      <sz val="11"/>
      <name val="Century Gothic"/>
      <family val="2"/>
      <scheme val="minor"/>
    </font>
    <font>
      <b/>
      <sz val="10"/>
      <color theme="1"/>
      <name val="Century Gothic"/>
      <family val="2"/>
      <scheme val="minor"/>
    </font>
    <font>
      <b/>
      <u/>
      <sz val="11"/>
      <color theme="1"/>
      <name val="Century Gothic"/>
      <family val="2"/>
      <scheme val="minor"/>
    </font>
    <font>
      <b/>
      <sz val="11"/>
      <color rgb="FF7030A0"/>
      <name val="Century Gothic"/>
      <family val="2"/>
      <scheme val="minor"/>
    </font>
    <font>
      <b/>
      <sz val="11"/>
      <name val="Century Gothic"/>
      <family val="2"/>
      <scheme val="minor"/>
    </font>
    <font>
      <sz val="11"/>
      <color rgb="FF000000"/>
      <name val="Century Gothic"/>
      <family val="2"/>
    </font>
    <font>
      <b/>
      <sz val="12"/>
      <color theme="1"/>
      <name val="Century Gothic"/>
      <family val="2"/>
      <scheme val="minor"/>
    </font>
    <font>
      <b/>
      <sz val="14"/>
      <color theme="2" tint="-0.249977111117893"/>
      <name val="Century Gothic"/>
      <family val="2"/>
      <scheme val="minor"/>
    </font>
    <font>
      <b/>
      <sz val="8"/>
      <color theme="1"/>
      <name val="Arial Black"/>
      <family val="2"/>
    </font>
    <font>
      <b/>
      <sz val="9"/>
      <color theme="1"/>
      <name val="Century Gothic"/>
      <family val="2"/>
      <scheme val="minor"/>
    </font>
    <font>
      <sz val="12"/>
      <color theme="4" tint="-0.249977111117893"/>
      <name val="Copperplate Gothic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9" tint="-0.249977111117893"/>
      </right>
      <top style="thin">
        <color theme="2" tint="-0.24994659260841701"/>
      </top>
      <bottom/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2" tint="-0.24994659260841701"/>
      </top>
      <bottom/>
      <diagonal/>
    </border>
  </borders>
  <cellStyleXfs count="2">
    <xf numFmtId="0" fontId="0" fillId="0" borderId="0"/>
    <xf numFmtId="166" fontId="1" fillId="0" borderId="0" applyFont="0" applyFill="0" applyBorder="0" applyAlignment="0" applyProtection="0"/>
  </cellStyleXfs>
  <cellXfs count="143">
    <xf numFmtId="0" fontId="0" fillId="0" borderId="0" xfId="0"/>
    <xf numFmtId="2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Fill="1" applyBorder="1"/>
    <xf numFmtId="0" fontId="0" fillId="0" borderId="0" xfId="0" applyBorder="1"/>
    <xf numFmtId="165" fontId="0" fillId="0" borderId="0" xfId="0" applyNumberFormat="1" applyBorder="1"/>
    <xf numFmtId="164" fontId="0" fillId="0" borderId="0" xfId="0" applyNumberFormat="1"/>
    <xf numFmtId="165" fontId="0" fillId="0" borderId="0" xfId="0" applyNumberFormat="1"/>
    <xf numFmtId="165" fontId="3" fillId="0" borderId="0" xfId="0" applyNumberFormat="1" applyFont="1" applyFill="1" applyBorder="1"/>
    <xf numFmtId="9" fontId="0" fillId="0" borderId="0" xfId="0" applyNumberFormat="1" applyAlignment="1">
      <alignment horizontal="center"/>
    </xf>
    <xf numFmtId="0" fontId="0" fillId="0" borderId="0" xfId="0" applyBorder="1" applyAlignment="1">
      <alignment horizontal="center" vertical="center"/>
    </xf>
    <xf numFmtId="165" fontId="0" fillId="0" borderId="0" xfId="1" applyNumberFormat="1" applyFont="1" applyBorder="1" applyAlignment="1">
      <alignment horizontal="right" vertic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/>
    <xf numFmtId="165" fontId="0" fillId="0" borderId="1" xfId="1" applyNumberFormat="1" applyFont="1" applyBorder="1" applyAlignment="1">
      <alignment horizontal="right" vertical="center"/>
    </xf>
    <xf numFmtId="10" fontId="0" fillId="0" borderId="1" xfId="0" applyNumberFormat="1" applyBorder="1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3" borderId="0" xfId="0" applyFont="1" applyFill="1" applyAlignment="1"/>
    <xf numFmtId="9" fontId="0" fillId="0" borderId="1" xfId="0" applyNumberFormat="1" applyBorder="1"/>
    <xf numFmtId="10" fontId="0" fillId="0" borderId="1" xfId="0" applyNumberFormat="1" applyBorder="1" applyAlignment="1">
      <alignment horizontal="center"/>
    </xf>
    <xf numFmtId="165" fontId="0" fillId="0" borderId="1" xfId="0" applyNumberFormat="1" applyBorder="1"/>
    <xf numFmtId="9" fontId="0" fillId="0" borderId="1" xfId="0" applyNumberForma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165" fontId="4" fillId="0" borderId="1" xfId="0" applyNumberFormat="1" applyFont="1" applyFill="1" applyBorder="1"/>
    <xf numFmtId="165" fontId="0" fillId="0" borderId="1" xfId="0" applyNumberFormat="1" applyFont="1" applyFill="1" applyBorder="1"/>
    <xf numFmtId="0" fontId="2" fillId="0" borderId="1" xfId="0" applyFont="1" applyBorder="1" applyAlignment="1">
      <alignment horizontal="center"/>
    </xf>
    <xf numFmtId="167" fontId="0" fillId="0" borderId="0" xfId="0" applyNumberFormat="1"/>
    <xf numFmtId="165" fontId="3" fillId="0" borderId="0" xfId="0" applyNumberFormat="1" applyFont="1" applyFill="1" applyBorder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0" fillId="0" borderId="5" xfId="0" applyBorder="1"/>
    <xf numFmtId="10" fontId="0" fillId="0" borderId="7" xfId="0" applyNumberFormat="1" applyBorder="1"/>
    <xf numFmtId="9" fontId="0" fillId="0" borderId="7" xfId="0" applyNumberFormat="1" applyBorder="1"/>
    <xf numFmtId="0" fontId="0" fillId="5" borderId="6" xfId="0" applyFont="1" applyFill="1" applyBorder="1" applyAlignment="1">
      <alignment horizontal="center"/>
    </xf>
    <xf numFmtId="165" fontId="0" fillId="0" borderId="1" xfId="0" applyNumberFormat="1" applyBorder="1" applyAlignment="1"/>
    <xf numFmtId="165" fontId="0" fillId="0" borderId="3" xfId="0" applyNumberFormat="1" applyBorder="1" applyAlignment="1"/>
    <xf numFmtId="0" fontId="5" fillId="3" borderId="3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/>
    </xf>
    <xf numFmtId="165" fontId="0" fillId="7" borderId="1" xfId="1" applyNumberFormat="1" applyFont="1" applyFill="1" applyBorder="1" applyAlignment="1">
      <alignment horizontal="right" vertical="center"/>
    </xf>
    <xf numFmtId="9" fontId="0" fillId="7" borderId="1" xfId="0" applyNumberFormat="1" applyFill="1" applyBorder="1"/>
    <xf numFmtId="0" fontId="6" fillId="0" borderId="0" xfId="0" applyFont="1"/>
    <xf numFmtId="0" fontId="7" fillId="0" borderId="0" xfId="0" applyFont="1"/>
    <xf numFmtId="1" fontId="2" fillId="8" borderId="9" xfId="0" applyNumberFormat="1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1" xfId="0" applyBorder="1"/>
    <xf numFmtId="49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0" fontId="2" fillId="2" borderId="1" xfId="0" applyFont="1" applyFill="1" applyBorder="1"/>
    <xf numFmtId="165" fontId="3" fillId="2" borderId="1" xfId="0" applyNumberFormat="1" applyFont="1" applyFill="1" applyBorder="1"/>
    <xf numFmtId="165" fontId="2" fillId="0" borderId="1" xfId="0" applyNumberFormat="1" applyFont="1" applyBorder="1" applyAlignment="1">
      <alignment horizontal="center"/>
    </xf>
    <xf numFmtId="0" fontId="0" fillId="2" borderId="1" xfId="0" applyFill="1" applyBorder="1"/>
    <xf numFmtId="0" fontId="0" fillId="0" borderId="1" xfId="0" applyNumberFormat="1" applyBorder="1"/>
    <xf numFmtId="2" fontId="0" fillId="0" borderId="1" xfId="0" applyNumberFormat="1" applyBorder="1"/>
    <xf numFmtId="165" fontId="3" fillId="0" borderId="1" xfId="0" applyNumberFormat="1" applyFont="1" applyFill="1" applyBorder="1" applyAlignment="1">
      <alignment horizontal="right"/>
    </xf>
    <xf numFmtId="165" fontId="3" fillId="0" borderId="1" xfId="0" applyNumberFormat="1" applyFont="1" applyFill="1" applyBorder="1"/>
    <xf numFmtId="165" fontId="4" fillId="0" borderId="0" xfId="0" applyNumberFormat="1" applyFont="1" applyFill="1" applyBorder="1"/>
    <xf numFmtId="165" fontId="0" fillId="0" borderId="0" xfId="0" applyNumberFormat="1" applyBorder="1" applyAlignment="1"/>
    <xf numFmtId="168" fontId="0" fillId="0" borderId="1" xfId="0" applyNumberFormat="1" applyBorder="1"/>
    <xf numFmtId="10" fontId="0" fillId="0" borderId="0" xfId="0" applyNumberFormat="1" applyBorder="1"/>
    <xf numFmtId="165" fontId="0" fillId="0" borderId="1" xfId="1" applyNumberFormat="1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11" fillId="0" borderId="0" xfId="0" applyFont="1" applyAlignment="1"/>
    <xf numFmtId="0" fontId="2" fillId="0" borderId="0" xfId="0" applyFont="1" applyAlignment="1"/>
    <xf numFmtId="0" fontId="2" fillId="3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0" fontId="2" fillId="3" borderId="0" xfId="0" applyFont="1" applyFill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0" fontId="2" fillId="3" borderId="0" xfId="0" applyFont="1" applyFill="1" applyAlignment="1">
      <alignment horizontal="center" wrapText="1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7" borderId="11" xfId="0" applyFont="1" applyFill="1" applyBorder="1" applyAlignment="1">
      <alignment horizontal="center"/>
    </xf>
    <xf numFmtId="0" fontId="0" fillId="7" borderId="12" xfId="0" applyFont="1" applyFill="1" applyBorder="1" applyAlignment="1">
      <alignment horizontal="center"/>
    </xf>
    <xf numFmtId="0" fontId="0" fillId="7" borderId="1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12" fillId="0" borderId="8" xfId="0" applyFont="1" applyBorder="1" applyAlignment="1">
      <alignment horizontal="center" vertical="center" textRotation="255" wrapText="1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wrapText="1"/>
    </xf>
    <xf numFmtId="0" fontId="0" fillId="2" borderId="8" xfId="0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2" borderId="0" xfId="0" applyFill="1" applyAlignment="1">
      <alignment horizontal="left" vertical="center" wrapText="1"/>
    </xf>
    <xf numFmtId="165" fontId="0" fillId="0" borderId="3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0" xfId="1" applyNumberFormat="1" applyFont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wrapText="1"/>
    </xf>
    <xf numFmtId="0" fontId="0" fillId="2" borderId="1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wrapText="1"/>
    </xf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5" fillId="3" borderId="7" xfId="0" applyFont="1" applyFill="1" applyBorder="1" applyAlignment="1">
      <alignment horizontal="center" vertical="center"/>
    </xf>
    <xf numFmtId="168" fontId="0" fillId="0" borderId="0" xfId="0" applyNumberFormat="1"/>
    <xf numFmtId="0" fontId="5" fillId="11" borderId="1" xfId="0" applyFont="1" applyFill="1" applyBorder="1" applyAlignment="1">
      <alignment horizontal="center"/>
    </xf>
    <xf numFmtId="0" fontId="0" fillId="0" borderId="14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4" fillId="2" borderId="0" xfId="0" applyFont="1" applyFill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PROYECTOS DE INVERSION AMBER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6.7778922242199044E-2"/>
          <c:y val="0.14350636664187602"/>
          <c:w val="0.90473113952495543"/>
          <c:h val="0.83112801990610552"/>
        </c:manualLayout>
      </c:layout>
      <c:scatterChart>
        <c:scatterStyle val="lineMarker"/>
        <c:varyColors val="0"/>
        <c:ser>
          <c:idx val="0"/>
          <c:order val="0"/>
          <c:tx>
            <c:strRef>
              <c:f>Ej_H!$E$14</c:f>
              <c:strCache>
                <c:ptCount val="1"/>
                <c:pt idx="0">
                  <c:v>PROYECTO 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6.0317454812983853E-2"/>
                  <c:y val="-0.2582680642387338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Ej_H!$D$15:$D$20</c:f>
              <c:numCache>
                <c:formatCode>0.00%</c:formatCode>
                <c:ptCount val="6"/>
                <c:pt idx="0">
                  <c:v>0.14738085161917169</c:v>
                </c:pt>
                <c:pt idx="1">
                  <c:v>0.17432326005713539</c:v>
                </c:pt>
                <c:pt idx="2" formatCode="0%">
                  <c:v>0.19</c:v>
                </c:pt>
                <c:pt idx="3">
                  <c:v>0.19473808422098338</c:v>
                </c:pt>
                <c:pt idx="4">
                  <c:v>0.198577097873192</c:v>
                </c:pt>
                <c:pt idx="5" formatCode="0%">
                  <c:v>0.19999999999999973</c:v>
                </c:pt>
              </c:numCache>
            </c:numRef>
          </c:xVal>
          <c:yVal>
            <c:numRef>
              <c:f>Ej_H!$E$15:$E$20</c:f>
              <c:numCache>
                <c:formatCode>"$"\ #,##0.00_);[Red]\("$"\ #,##0.00\)</c:formatCode>
                <c:ptCount val="6"/>
                <c:pt idx="0">
                  <c:v>315851.57266287017</c:v>
                </c:pt>
                <c:pt idx="1">
                  <c:v>124725.22397477529</c:v>
                </c:pt>
                <c:pt idx="2">
                  <c:v>27569.95025504427</c:v>
                </c:pt>
                <c:pt idx="3">
                  <c:v>1.6298145055770874E-8</c:v>
                </c:pt>
                <c:pt idx="4">
                  <c:v>-21765.004447432468</c:v>
                </c:pt>
                <c:pt idx="5">
                  <c:v>-29704.946530766319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Ej_H!$F$14</c:f>
              <c:strCache>
                <c:ptCount val="1"/>
                <c:pt idx="0">
                  <c:v>PROYECTO 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6.5104554401315906E-2"/>
                  <c:y val="-6.68729809189578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Ej_H!$D$15:$D$20</c:f>
              <c:numCache>
                <c:formatCode>0.00%</c:formatCode>
                <c:ptCount val="6"/>
                <c:pt idx="0">
                  <c:v>0.14738085161917169</c:v>
                </c:pt>
                <c:pt idx="1">
                  <c:v>0.17432326005713539</c:v>
                </c:pt>
                <c:pt idx="2" formatCode="0%">
                  <c:v>0.19</c:v>
                </c:pt>
                <c:pt idx="3">
                  <c:v>0.19473808422098338</c:v>
                </c:pt>
                <c:pt idx="4">
                  <c:v>0.198577097873192</c:v>
                </c:pt>
                <c:pt idx="5" formatCode="0%">
                  <c:v>0.19999999999999973</c:v>
                </c:pt>
              </c:numCache>
            </c:numRef>
          </c:xVal>
          <c:yVal>
            <c:numRef>
              <c:f>Ej_H!$F$15:$F$20</c:f>
              <c:numCache>
                <c:formatCode>"$"\ #,##0.00_);[Red]\("$"\ #,##0.00\)</c:formatCode>
                <c:ptCount val="6"/>
                <c:pt idx="0">
                  <c:v>0</c:v>
                </c:pt>
                <c:pt idx="1">
                  <c:v>-198356.32448344748</c:v>
                </c:pt>
                <c:pt idx="2">
                  <c:v>-299245.62142777839</c:v>
                </c:pt>
                <c:pt idx="3">
                  <c:v>-327883.18158447323</c:v>
                </c:pt>
                <c:pt idx="4">
                  <c:v>-350493.6334643017</c:v>
                </c:pt>
                <c:pt idx="5">
                  <c:v>-358742.58610301255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Ej_H!$G$14</c:f>
              <c:strCache>
                <c:ptCount val="1"/>
                <c:pt idx="0">
                  <c:v>PROYECTO 3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6.1274874730650263E-2"/>
                  <c:y val="-2.7671578311292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Ej_H!$D$15:$D$20</c:f>
              <c:numCache>
                <c:formatCode>0.00%</c:formatCode>
                <c:ptCount val="6"/>
                <c:pt idx="0">
                  <c:v>0.14738085161917169</c:v>
                </c:pt>
                <c:pt idx="1">
                  <c:v>0.17432326005713539</c:v>
                </c:pt>
                <c:pt idx="2" formatCode="0%">
                  <c:v>0.19</c:v>
                </c:pt>
                <c:pt idx="3">
                  <c:v>0.19473808422098338</c:v>
                </c:pt>
                <c:pt idx="4">
                  <c:v>0.198577097873192</c:v>
                </c:pt>
                <c:pt idx="5" formatCode="0%">
                  <c:v>0.19999999999999973</c:v>
                </c:pt>
              </c:numCache>
            </c:numRef>
          </c:xVal>
          <c:yVal>
            <c:numRef>
              <c:f>Ej_H!$G$15:$G$20</c:f>
              <c:numCache>
                <c:formatCode>"$"\ #,##0.00_);[Red]\("$"\ #,##0.00\)</c:formatCode>
                <c:ptCount val="6"/>
                <c:pt idx="0">
                  <c:v>112129.14829731511</c:v>
                </c:pt>
                <c:pt idx="1">
                  <c:v>48590.511804454494</c:v>
                </c:pt>
                <c:pt idx="2">
                  <c:v>16357.350833320175</c:v>
                </c:pt>
                <c:pt idx="3">
                  <c:v>7215.7213107220596</c:v>
                </c:pt>
                <c:pt idx="4">
                  <c:v>1.7229467630386353E-8</c:v>
                </c:pt>
                <c:pt idx="5">
                  <c:v>-2632.1260997217614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Ej_H!$H$14</c:f>
              <c:strCache>
                <c:ptCount val="1"/>
                <c:pt idx="0">
                  <c:v>PROYECTO 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6.1274874730650263E-2"/>
                  <c:y val="-0.1360519266971901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Ej_H!$D$15:$D$20</c:f>
              <c:numCache>
                <c:formatCode>0.00%</c:formatCode>
                <c:ptCount val="6"/>
                <c:pt idx="0">
                  <c:v>0.14738085161917169</c:v>
                </c:pt>
                <c:pt idx="1">
                  <c:v>0.17432326005713539</c:v>
                </c:pt>
                <c:pt idx="2" formatCode="0%">
                  <c:v>0.19</c:v>
                </c:pt>
                <c:pt idx="3">
                  <c:v>0.19473808422098338</c:v>
                </c:pt>
                <c:pt idx="4">
                  <c:v>0.198577097873192</c:v>
                </c:pt>
                <c:pt idx="5" formatCode="0%">
                  <c:v>0.19999999999999973</c:v>
                </c:pt>
              </c:numCache>
            </c:numRef>
          </c:xVal>
          <c:yVal>
            <c:numRef>
              <c:f>Ej_H!$H$15:$H$20</c:f>
              <c:numCache>
                <c:formatCode>"$"\ #,##0.00_);[Red]\("$"\ #,##0.00\)</c:formatCode>
                <c:ptCount val="6"/>
                <c:pt idx="0">
                  <c:v>102316.30044591904</c:v>
                </c:pt>
                <c:pt idx="1">
                  <c:v>45340.463931471924</c:v>
                </c:pt>
                <c:pt idx="2">
                  <c:v>16741.552340552094</c:v>
                </c:pt>
                <c:pt idx="3">
                  <c:v>8671.7876625304925</c:v>
                </c:pt>
                <c:pt idx="4">
                  <c:v>2315.5814930204069</c:v>
                </c:pt>
                <c:pt idx="5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Ej_H!$I$14</c:f>
              <c:strCache>
                <c:ptCount val="1"/>
                <c:pt idx="0">
                  <c:v>PROYECTO 5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6.2232294648316533E-2"/>
                  <c:y val="9.91564889487996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Ej_H!$D$15:$D$20</c:f>
              <c:numCache>
                <c:formatCode>0.00%</c:formatCode>
                <c:ptCount val="6"/>
                <c:pt idx="0">
                  <c:v>0.14738085161917169</c:v>
                </c:pt>
                <c:pt idx="1">
                  <c:v>0.17432326005713539</c:v>
                </c:pt>
                <c:pt idx="2" formatCode="0%">
                  <c:v>0.19</c:v>
                </c:pt>
                <c:pt idx="3">
                  <c:v>0.19473808422098338</c:v>
                </c:pt>
                <c:pt idx="4">
                  <c:v>0.198577097873192</c:v>
                </c:pt>
                <c:pt idx="5" formatCode="0%">
                  <c:v>0.19999999999999973</c:v>
                </c:pt>
              </c:numCache>
            </c:numRef>
          </c:xVal>
          <c:yVal>
            <c:numRef>
              <c:f>Ej_H!$I$15:$I$20</c:f>
              <c:numCache>
                <c:formatCode>"$"\ #,##0.00_);[Red]\("$"\ #,##0.00\)</c:formatCode>
                <c:ptCount val="6"/>
                <c:pt idx="0">
                  <c:v>99064.838870142121</c:v>
                </c:pt>
                <c:pt idx="1">
                  <c:v>0</c:v>
                </c:pt>
                <c:pt idx="2">
                  <c:v>-49969.003625922487</c:v>
                </c:pt>
                <c:pt idx="3">
                  <c:v>-64101.866102616303</c:v>
                </c:pt>
                <c:pt idx="4">
                  <c:v>-75244.57171464467</c:v>
                </c:pt>
                <c:pt idx="5">
                  <c:v>-79306.319949850207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106384"/>
        <c:axId val="526105992"/>
      </c:scatterChart>
      <c:valAx>
        <c:axId val="52610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6105992"/>
        <c:crosses val="autoZero"/>
        <c:crossBetween val="midCat"/>
      </c:valAx>
      <c:valAx>
        <c:axId val="526105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_);[Red]\(&quot;$&quot;\ 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610638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PROYECTOS DE INVERSION AMBER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Ej_I!$G$5</c:f>
              <c:strCache>
                <c:ptCount val="1"/>
                <c:pt idx="0">
                  <c:v>PROYECTO 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Ej_I!$F$6:$F$16</c:f>
              <c:numCache>
                <c:formatCode>0%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0.12</c:v>
                </c:pt>
                <c:pt idx="3">
                  <c:v>0.14738085161917169</c:v>
                </c:pt>
                <c:pt idx="4">
                  <c:v>0.15</c:v>
                </c:pt>
                <c:pt idx="5">
                  <c:v>0.17432326005713539</c:v>
                </c:pt>
                <c:pt idx="6">
                  <c:v>0.19</c:v>
                </c:pt>
                <c:pt idx="7">
                  <c:v>0.19473808422098338</c:v>
                </c:pt>
                <c:pt idx="8">
                  <c:v>0.198577097873192</c:v>
                </c:pt>
                <c:pt idx="9">
                  <c:v>0.19999999999999973</c:v>
                </c:pt>
                <c:pt idx="10">
                  <c:v>0.25</c:v>
                </c:pt>
              </c:numCache>
            </c:numRef>
          </c:xVal>
          <c:yVal>
            <c:numRef>
              <c:f>Ej_I!$G$6:$G$16</c:f>
              <c:numCache>
                <c:formatCode>"$"\ #,##0.00_);[Red]\("$"\ #,##0.00\)</c:formatCode>
                <c:ptCount val="11"/>
                <c:pt idx="0">
                  <c:v>1390082.8813092676</c:v>
                </c:pt>
                <c:pt idx="1">
                  <c:v>746979.65822146367</c:v>
                </c:pt>
                <c:pt idx="2">
                  <c:v>547906.49160162243</c:v>
                </c:pt>
                <c:pt idx="3">
                  <c:v>315851.57266287017</c:v>
                </c:pt>
                <c:pt idx="4">
                  <c:v>295783.18848330551</c:v>
                </c:pt>
                <c:pt idx="5">
                  <c:v>124725.22397477529</c:v>
                </c:pt>
                <c:pt idx="6">
                  <c:v>27569.95025504427</c:v>
                </c:pt>
                <c:pt idx="7">
                  <c:v>1.6298145055770874E-8</c:v>
                </c:pt>
                <c:pt idx="8">
                  <c:v>-21765.004447432468</c:v>
                </c:pt>
                <c:pt idx="9">
                  <c:v>-29704.946530766319</c:v>
                </c:pt>
                <c:pt idx="10">
                  <c:v>-270557.03121919977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Ej_I!$H$5</c:f>
              <c:strCache>
                <c:ptCount val="1"/>
                <c:pt idx="0">
                  <c:v>PROYECTO 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Ej_I!$F$6:$F$16</c:f>
              <c:numCache>
                <c:formatCode>0%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0.12</c:v>
                </c:pt>
                <c:pt idx="3">
                  <c:v>0.14738085161917169</c:v>
                </c:pt>
                <c:pt idx="4">
                  <c:v>0.15</c:v>
                </c:pt>
                <c:pt idx="5">
                  <c:v>0.17432326005713539</c:v>
                </c:pt>
                <c:pt idx="6">
                  <c:v>0.19</c:v>
                </c:pt>
                <c:pt idx="7">
                  <c:v>0.19473808422098338</c:v>
                </c:pt>
                <c:pt idx="8">
                  <c:v>0.198577097873192</c:v>
                </c:pt>
                <c:pt idx="9">
                  <c:v>0.19999999999999973</c:v>
                </c:pt>
                <c:pt idx="10">
                  <c:v>0.25</c:v>
                </c:pt>
              </c:numCache>
            </c:numRef>
          </c:xVal>
          <c:yVal>
            <c:numRef>
              <c:f>Ej_I!$H$6:$H$16</c:f>
              <c:numCache>
                <c:formatCode>"$"\ #,##0.00_);[Red]\("$"\ #,##0.00\)</c:formatCode>
                <c:ptCount val="11"/>
                <c:pt idx="0">
                  <c:v>1112865.5320174191</c:v>
                </c:pt>
                <c:pt idx="1">
                  <c:v>446979.65822146367</c:v>
                </c:pt>
                <c:pt idx="2">
                  <c:v>240656.86331564048</c:v>
                </c:pt>
                <c:pt idx="3">
                  <c:v>0</c:v>
                </c:pt>
                <c:pt idx="4">
                  <c:v>-20820.916097179754</c:v>
                </c:pt>
                <c:pt idx="5">
                  <c:v>-198356.32448344748</c:v>
                </c:pt>
                <c:pt idx="6">
                  <c:v>-299245.62142777839</c:v>
                </c:pt>
                <c:pt idx="7">
                  <c:v>-327883.18158447323</c:v>
                </c:pt>
                <c:pt idx="8">
                  <c:v>-350493.6334643017</c:v>
                </c:pt>
                <c:pt idx="9">
                  <c:v>-358742.58610301255</c:v>
                </c:pt>
                <c:pt idx="10">
                  <c:v>-609134.01159679983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Ej_I!$I$5</c:f>
              <c:strCache>
                <c:ptCount val="1"/>
                <c:pt idx="0">
                  <c:v>PROYECTO 3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Ej_I!$F$6:$F$16</c:f>
              <c:numCache>
                <c:formatCode>0%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0.12</c:v>
                </c:pt>
                <c:pt idx="3">
                  <c:v>0.14738085161917169</c:v>
                </c:pt>
                <c:pt idx="4">
                  <c:v>0.15</c:v>
                </c:pt>
                <c:pt idx="5">
                  <c:v>0.17432326005713539</c:v>
                </c:pt>
                <c:pt idx="6">
                  <c:v>0.19</c:v>
                </c:pt>
                <c:pt idx="7">
                  <c:v>0.19473808422098338</c:v>
                </c:pt>
                <c:pt idx="8">
                  <c:v>0.198577097873192</c:v>
                </c:pt>
                <c:pt idx="9">
                  <c:v>0.19999999999999973</c:v>
                </c:pt>
                <c:pt idx="10">
                  <c:v>0.25</c:v>
                </c:pt>
              </c:numCache>
            </c:numRef>
          </c:xVal>
          <c:yVal>
            <c:numRef>
              <c:f>Ej_I!$I$6:$I$16</c:f>
              <c:numCache>
                <c:formatCode>"$"\ #,##0.00_);[Red]\("$"\ #,##0.00\)</c:formatCode>
                <c:ptCount val="11"/>
                <c:pt idx="0">
                  <c:v>474231.28595588682</c:v>
                </c:pt>
                <c:pt idx="1">
                  <c:v>256360.62730544305</c:v>
                </c:pt>
                <c:pt idx="2">
                  <c:v>189588.49225101294</c:v>
                </c:pt>
                <c:pt idx="3">
                  <c:v>112129.14829731511</c:v>
                </c:pt>
                <c:pt idx="4">
                  <c:v>105447.68399187212</c:v>
                </c:pt>
                <c:pt idx="5">
                  <c:v>48590.511804454494</c:v>
                </c:pt>
                <c:pt idx="6">
                  <c:v>16357.350833320175</c:v>
                </c:pt>
                <c:pt idx="7">
                  <c:v>7215.7213107220596</c:v>
                </c:pt>
                <c:pt idx="8">
                  <c:v>1.7229467630386353E-8</c:v>
                </c:pt>
                <c:pt idx="9">
                  <c:v>-2632.1260997217614</c:v>
                </c:pt>
                <c:pt idx="10">
                  <c:v>-82507.345919999934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Ej_I!$J$5</c:f>
              <c:strCache>
                <c:ptCount val="1"/>
                <c:pt idx="0">
                  <c:v>PROYECTO 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Ej_I!$F$6:$F$16</c:f>
              <c:numCache>
                <c:formatCode>0%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0.12</c:v>
                </c:pt>
                <c:pt idx="3">
                  <c:v>0.14738085161917169</c:v>
                </c:pt>
                <c:pt idx="4">
                  <c:v>0.15</c:v>
                </c:pt>
                <c:pt idx="5">
                  <c:v>0.17432326005713539</c:v>
                </c:pt>
                <c:pt idx="6">
                  <c:v>0.19</c:v>
                </c:pt>
                <c:pt idx="7">
                  <c:v>0.19473808422098338</c:v>
                </c:pt>
                <c:pt idx="8">
                  <c:v>0.198577097873192</c:v>
                </c:pt>
                <c:pt idx="9">
                  <c:v>0.19999999999999973</c:v>
                </c:pt>
                <c:pt idx="10">
                  <c:v>0.25</c:v>
                </c:pt>
              </c:numCache>
            </c:numRef>
          </c:xVal>
          <c:yVal>
            <c:numRef>
              <c:f>Ej_I!$J$6:$J$16</c:f>
              <c:numCache>
                <c:formatCode>"$"\ #,##0.00_);[Red]\("$"\ #,##0.00\)</c:formatCode>
                <c:ptCount val="11"/>
                <c:pt idx="0">
                  <c:v>437878.87098426034</c:v>
                </c:pt>
                <c:pt idx="1">
                  <c:v>234078.74688398757</c:v>
                </c:pt>
                <c:pt idx="2">
                  <c:v>172704.93030236952</c:v>
                </c:pt>
                <c:pt idx="3">
                  <c:v>102316.30044591904</c:v>
                </c:pt>
                <c:pt idx="4">
                  <c:v>96290.328286738251</c:v>
                </c:pt>
                <c:pt idx="5">
                  <c:v>45340.463931471924</c:v>
                </c:pt>
                <c:pt idx="6">
                  <c:v>16741.552340552094</c:v>
                </c:pt>
                <c:pt idx="7">
                  <c:v>8671.7876625304925</c:v>
                </c:pt>
                <c:pt idx="8">
                  <c:v>2315.5814930204069</c:v>
                </c:pt>
                <c:pt idx="9">
                  <c:v>0</c:v>
                </c:pt>
                <c:pt idx="10">
                  <c:v>-69426.452479999978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Ej_I!$K$5</c:f>
              <c:strCache>
                <c:ptCount val="1"/>
                <c:pt idx="0">
                  <c:v>PROYECTO 5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Ej_I!$F$6:$F$16</c:f>
              <c:numCache>
                <c:formatCode>0%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0.12</c:v>
                </c:pt>
                <c:pt idx="3">
                  <c:v>0.14738085161917169</c:v>
                </c:pt>
                <c:pt idx="4">
                  <c:v>0.15</c:v>
                </c:pt>
                <c:pt idx="5">
                  <c:v>0.17432326005713539</c:v>
                </c:pt>
                <c:pt idx="6">
                  <c:v>0.19</c:v>
                </c:pt>
                <c:pt idx="7">
                  <c:v>0.19473808422098338</c:v>
                </c:pt>
                <c:pt idx="8">
                  <c:v>0.198577097873192</c:v>
                </c:pt>
                <c:pt idx="9">
                  <c:v>0.19999999999999973</c:v>
                </c:pt>
                <c:pt idx="10">
                  <c:v>0.25</c:v>
                </c:pt>
              </c:numCache>
            </c:numRef>
          </c:xVal>
          <c:yVal>
            <c:numRef>
              <c:f>Ej_I!$K$6:$K$16</c:f>
              <c:numCache>
                <c:formatCode>"$"\ #,##0.00_);[Red]\("$"\ #,##0.00\)</c:formatCode>
                <c:ptCount val="11"/>
                <c:pt idx="0">
                  <c:v>673711.26515406929</c:v>
                </c:pt>
                <c:pt idx="1">
                  <c:v>326206.25201832037</c:v>
                </c:pt>
                <c:pt idx="2">
                  <c:v>220703.17172892764</c:v>
                </c:pt>
                <c:pt idx="3">
                  <c:v>99064.838870142121</c:v>
                </c:pt>
                <c:pt idx="4">
                  <c:v>88615.136320202728</c:v>
                </c:pt>
                <c:pt idx="5">
                  <c:v>0</c:v>
                </c:pt>
                <c:pt idx="6">
                  <c:v>-49969.003625922487</c:v>
                </c:pt>
                <c:pt idx="7">
                  <c:v>-64101.866102616303</c:v>
                </c:pt>
                <c:pt idx="8">
                  <c:v>-75244.57171464467</c:v>
                </c:pt>
                <c:pt idx="9">
                  <c:v>-79306.319949850207</c:v>
                </c:pt>
                <c:pt idx="10">
                  <c:v>-201764.87423999992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572920"/>
        <c:axId val="521572136"/>
      </c:scatterChart>
      <c:valAx>
        <c:axId val="521572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1572136"/>
        <c:crosses val="autoZero"/>
        <c:crossBetween val="midCat"/>
      </c:valAx>
      <c:valAx>
        <c:axId val="521572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_);[Red]\(&quot;$&quot;\ 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1572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PROYECTOS</a:t>
            </a:r>
            <a:r>
              <a:rPr lang="es-ES" baseline="0"/>
              <a:t> DE INVERSION AMBER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Ej_Amber_A!$C$188</c:f>
              <c:strCache>
                <c:ptCount val="1"/>
                <c:pt idx="0">
                  <c:v>PROYECTO 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2.6905030915439138E-2"/>
                  <c:y val="-0.1203610705753933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7.6871516901254678E-3"/>
                  <c:y val="-0.1337345228615482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Ej_Amber_A!$B$189:$B$199</c:f>
              <c:numCache>
                <c:formatCode>0%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0.12</c:v>
                </c:pt>
                <c:pt idx="3" formatCode="0.00%">
                  <c:v>0.14738085161917169</c:v>
                </c:pt>
                <c:pt idx="4">
                  <c:v>0.15</c:v>
                </c:pt>
                <c:pt idx="5" formatCode="0.00%">
                  <c:v>0.17432326005713539</c:v>
                </c:pt>
                <c:pt idx="6">
                  <c:v>0.19</c:v>
                </c:pt>
                <c:pt idx="7" formatCode="0.00%">
                  <c:v>0.19473808422098338</c:v>
                </c:pt>
                <c:pt idx="8" formatCode="0.00%">
                  <c:v>0.198577097873192</c:v>
                </c:pt>
                <c:pt idx="9">
                  <c:v>0.19999999999999973</c:v>
                </c:pt>
                <c:pt idx="10">
                  <c:v>0.25</c:v>
                </c:pt>
              </c:numCache>
            </c:numRef>
          </c:xVal>
          <c:yVal>
            <c:numRef>
              <c:f>Ej_Amber_A!$C$189:$C$199</c:f>
              <c:numCache>
                <c:formatCode>"$"\ #,##0.00_);[Red]\("$"\ #,##0.00\)</c:formatCode>
                <c:ptCount val="11"/>
                <c:pt idx="0">
                  <c:v>1390082.8813092676</c:v>
                </c:pt>
                <c:pt idx="1">
                  <c:v>746979.65822146367</c:v>
                </c:pt>
                <c:pt idx="2">
                  <c:v>547906.49160162243</c:v>
                </c:pt>
                <c:pt idx="3">
                  <c:v>315851.57266287017</c:v>
                </c:pt>
                <c:pt idx="4">
                  <c:v>295783.18848330551</c:v>
                </c:pt>
                <c:pt idx="5">
                  <c:v>124725.22397477529</c:v>
                </c:pt>
                <c:pt idx="6">
                  <c:v>27569.95025504427</c:v>
                </c:pt>
                <c:pt idx="7">
                  <c:v>1.6298145055770874E-8</c:v>
                </c:pt>
                <c:pt idx="8">
                  <c:v>-21765.004447432468</c:v>
                </c:pt>
                <c:pt idx="9">
                  <c:v>-29704.946530766319</c:v>
                </c:pt>
                <c:pt idx="10">
                  <c:v>-270557.03121919977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Ej_Amber_A!$D$188</c:f>
              <c:strCache>
                <c:ptCount val="1"/>
                <c:pt idx="0">
                  <c:v>PROYECTO 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Ej_Amber_A!$B$189:$B$199</c:f>
              <c:numCache>
                <c:formatCode>0%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0.12</c:v>
                </c:pt>
                <c:pt idx="3" formatCode="0.00%">
                  <c:v>0.14738085161917169</c:v>
                </c:pt>
                <c:pt idx="4">
                  <c:v>0.15</c:v>
                </c:pt>
                <c:pt idx="5" formatCode="0.00%">
                  <c:v>0.17432326005713539</c:v>
                </c:pt>
                <c:pt idx="6">
                  <c:v>0.19</c:v>
                </c:pt>
                <c:pt idx="7" formatCode="0.00%">
                  <c:v>0.19473808422098338</c:v>
                </c:pt>
                <c:pt idx="8" formatCode="0.00%">
                  <c:v>0.198577097873192</c:v>
                </c:pt>
                <c:pt idx="9">
                  <c:v>0.19999999999999973</c:v>
                </c:pt>
                <c:pt idx="10">
                  <c:v>0.25</c:v>
                </c:pt>
              </c:numCache>
            </c:numRef>
          </c:xVal>
          <c:yVal>
            <c:numRef>
              <c:f>Ej_Amber_A!$D$189:$D$199</c:f>
              <c:numCache>
                <c:formatCode>"$"\ #,##0.00_);[Red]\("$"\ #,##0.00\)</c:formatCode>
                <c:ptCount val="11"/>
                <c:pt idx="0">
                  <c:v>1112865.5320174191</c:v>
                </c:pt>
                <c:pt idx="1">
                  <c:v>446979.65822146367</c:v>
                </c:pt>
                <c:pt idx="2">
                  <c:v>240656.86331564048</c:v>
                </c:pt>
                <c:pt idx="3">
                  <c:v>0</c:v>
                </c:pt>
                <c:pt idx="4">
                  <c:v>-20820.916097179754</c:v>
                </c:pt>
                <c:pt idx="5">
                  <c:v>-198356.32448344748</c:v>
                </c:pt>
                <c:pt idx="6">
                  <c:v>-299245.62142777839</c:v>
                </c:pt>
                <c:pt idx="7">
                  <c:v>-327883.18158447323</c:v>
                </c:pt>
                <c:pt idx="8">
                  <c:v>-350493.6334643017</c:v>
                </c:pt>
                <c:pt idx="9">
                  <c:v>-358742.58610301255</c:v>
                </c:pt>
                <c:pt idx="10">
                  <c:v>-609134.01159679983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Ej_Amber_A!$E$188</c:f>
              <c:strCache>
                <c:ptCount val="1"/>
                <c:pt idx="0">
                  <c:v>PROYECTO 3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7.8793304823786048E-2"/>
                  <c:y val="-9.09394755458528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1.5374303380250936E-2"/>
                  <c:y val="-5.61684996018503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Ej_Amber_A!$B$189:$B$199</c:f>
              <c:numCache>
                <c:formatCode>0%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0.12</c:v>
                </c:pt>
                <c:pt idx="3" formatCode="0.00%">
                  <c:v>0.14738085161917169</c:v>
                </c:pt>
                <c:pt idx="4">
                  <c:v>0.15</c:v>
                </c:pt>
                <c:pt idx="5" formatCode="0.00%">
                  <c:v>0.17432326005713539</c:v>
                </c:pt>
                <c:pt idx="6">
                  <c:v>0.19</c:v>
                </c:pt>
                <c:pt idx="7" formatCode="0.00%">
                  <c:v>0.19473808422098338</c:v>
                </c:pt>
                <c:pt idx="8" formatCode="0.00%">
                  <c:v>0.198577097873192</c:v>
                </c:pt>
                <c:pt idx="9">
                  <c:v>0.19999999999999973</c:v>
                </c:pt>
                <c:pt idx="10">
                  <c:v>0.25</c:v>
                </c:pt>
              </c:numCache>
            </c:numRef>
          </c:xVal>
          <c:yVal>
            <c:numRef>
              <c:f>Ej_Amber_A!$E$189:$E$199</c:f>
              <c:numCache>
                <c:formatCode>"$"\ #,##0.00_);[Red]\("$"\ #,##0.00\)</c:formatCode>
                <c:ptCount val="11"/>
                <c:pt idx="0">
                  <c:v>474231.28595588682</c:v>
                </c:pt>
                <c:pt idx="1">
                  <c:v>256360.62730544305</c:v>
                </c:pt>
                <c:pt idx="2">
                  <c:v>189588.49225101294</c:v>
                </c:pt>
                <c:pt idx="3">
                  <c:v>112129.14829731511</c:v>
                </c:pt>
                <c:pt idx="4">
                  <c:v>105447.68399187212</c:v>
                </c:pt>
                <c:pt idx="5">
                  <c:v>48590.511804454494</c:v>
                </c:pt>
                <c:pt idx="6">
                  <c:v>16357.350833320175</c:v>
                </c:pt>
                <c:pt idx="7">
                  <c:v>7215.7213107220596</c:v>
                </c:pt>
                <c:pt idx="8">
                  <c:v>1.7229467630386353E-8</c:v>
                </c:pt>
                <c:pt idx="9">
                  <c:v>-2632.1260997217614</c:v>
                </c:pt>
                <c:pt idx="10">
                  <c:v>-82507.345919999934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Ej_Amber_A!$F$188</c:f>
              <c:strCache>
                <c:ptCount val="1"/>
                <c:pt idx="0">
                  <c:v>PROYECTO 4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3.4592182605564605E-2"/>
                  <c:y val="4.81444282301573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-1.5374303380250936E-2"/>
                  <c:y val="6.41925709735430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Ej_Amber_A!$B$189:$B$199</c:f>
              <c:numCache>
                <c:formatCode>0%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0.12</c:v>
                </c:pt>
                <c:pt idx="3" formatCode="0.00%">
                  <c:v>0.14738085161917169</c:v>
                </c:pt>
                <c:pt idx="4">
                  <c:v>0.15</c:v>
                </c:pt>
                <c:pt idx="5" formatCode="0.00%">
                  <c:v>0.17432326005713539</c:v>
                </c:pt>
                <c:pt idx="6">
                  <c:v>0.19</c:v>
                </c:pt>
                <c:pt idx="7" formatCode="0.00%">
                  <c:v>0.19473808422098338</c:v>
                </c:pt>
                <c:pt idx="8" formatCode="0.00%">
                  <c:v>0.198577097873192</c:v>
                </c:pt>
                <c:pt idx="9">
                  <c:v>0.19999999999999973</c:v>
                </c:pt>
                <c:pt idx="10">
                  <c:v>0.25</c:v>
                </c:pt>
              </c:numCache>
            </c:numRef>
          </c:xVal>
          <c:yVal>
            <c:numRef>
              <c:f>Ej_Amber_A!$F$189:$F$199</c:f>
              <c:numCache>
                <c:formatCode>"$"\ #,##0.00_);[Red]\("$"\ #,##0.00\)</c:formatCode>
                <c:ptCount val="11"/>
                <c:pt idx="0">
                  <c:v>437878.87098426034</c:v>
                </c:pt>
                <c:pt idx="1">
                  <c:v>234078.74688398757</c:v>
                </c:pt>
                <c:pt idx="2">
                  <c:v>172704.93030236952</c:v>
                </c:pt>
                <c:pt idx="3">
                  <c:v>102316.30044591904</c:v>
                </c:pt>
                <c:pt idx="4">
                  <c:v>96290.328286738251</c:v>
                </c:pt>
                <c:pt idx="5">
                  <c:v>45340.463931471924</c:v>
                </c:pt>
                <c:pt idx="6">
                  <c:v>16741.552340552094</c:v>
                </c:pt>
                <c:pt idx="7">
                  <c:v>8671.7876625304925</c:v>
                </c:pt>
                <c:pt idx="8">
                  <c:v>2315.5814930204069</c:v>
                </c:pt>
                <c:pt idx="9">
                  <c:v>0</c:v>
                </c:pt>
                <c:pt idx="10">
                  <c:v>-69426.452479999978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Ej_Amber_A!$G$188</c:f>
              <c:strCache>
                <c:ptCount val="1"/>
                <c:pt idx="0">
                  <c:v>PROYECTO 5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Ej_Amber_A!$B$189:$B$199</c:f>
              <c:numCache>
                <c:formatCode>0%</c:formatCode>
                <c:ptCount val="11"/>
                <c:pt idx="0">
                  <c:v>0.05</c:v>
                </c:pt>
                <c:pt idx="1">
                  <c:v>0.1</c:v>
                </c:pt>
                <c:pt idx="2">
                  <c:v>0.12</c:v>
                </c:pt>
                <c:pt idx="3" formatCode="0.00%">
                  <c:v>0.14738085161917169</c:v>
                </c:pt>
                <c:pt idx="4">
                  <c:v>0.15</c:v>
                </c:pt>
                <c:pt idx="5" formatCode="0.00%">
                  <c:v>0.17432326005713539</c:v>
                </c:pt>
                <c:pt idx="6">
                  <c:v>0.19</c:v>
                </c:pt>
                <c:pt idx="7" formatCode="0.00%">
                  <c:v>0.19473808422098338</c:v>
                </c:pt>
                <c:pt idx="8" formatCode="0.00%">
                  <c:v>0.198577097873192</c:v>
                </c:pt>
                <c:pt idx="9">
                  <c:v>0.19999999999999973</c:v>
                </c:pt>
                <c:pt idx="10">
                  <c:v>0.25</c:v>
                </c:pt>
              </c:numCache>
            </c:numRef>
          </c:xVal>
          <c:yVal>
            <c:numRef>
              <c:f>Ej_Amber_A!$G$189:$G$199</c:f>
              <c:numCache>
                <c:formatCode>"$"\ #,##0.00_);[Red]\("$"\ #,##0.00\)</c:formatCode>
                <c:ptCount val="11"/>
                <c:pt idx="0">
                  <c:v>673711.26515406929</c:v>
                </c:pt>
                <c:pt idx="1">
                  <c:v>326206.25201832037</c:v>
                </c:pt>
                <c:pt idx="2">
                  <c:v>220703.17172892764</c:v>
                </c:pt>
                <c:pt idx="3">
                  <c:v>99064.838870142121</c:v>
                </c:pt>
                <c:pt idx="4">
                  <c:v>88615.136320202728</c:v>
                </c:pt>
                <c:pt idx="5">
                  <c:v>0</c:v>
                </c:pt>
                <c:pt idx="6">
                  <c:v>-49969.003625922487</c:v>
                </c:pt>
                <c:pt idx="7">
                  <c:v>-64101.866102616303</c:v>
                </c:pt>
                <c:pt idx="8">
                  <c:v>-75244.57171464467</c:v>
                </c:pt>
                <c:pt idx="9">
                  <c:v>-79306.319949850207</c:v>
                </c:pt>
                <c:pt idx="10">
                  <c:v>-201764.87423999992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575272"/>
        <c:axId val="521573312"/>
      </c:scatterChart>
      <c:valAx>
        <c:axId val="521575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1573312"/>
        <c:crosses val="autoZero"/>
        <c:crossBetween val="midCat"/>
      </c:valAx>
      <c:valAx>
        <c:axId val="5215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_);[Red]\(&quot;$&quot;\ 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1575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Ej_H!A1"/><Relationship Id="rId3" Type="http://schemas.openxmlformats.org/officeDocument/2006/relationships/hyperlink" Target="#Ej_C!A1"/><Relationship Id="rId7" Type="http://schemas.openxmlformats.org/officeDocument/2006/relationships/hyperlink" Target="#Ej_G!A1"/><Relationship Id="rId2" Type="http://schemas.openxmlformats.org/officeDocument/2006/relationships/hyperlink" Target="#Ej_B!A1"/><Relationship Id="rId1" Type="http://schemas.openxmlformats.org/officeDocument/2006/relationships/hyperlink" Target="#Ej_A!A1"/><Relationship Id="rId6" Type="http://schemas.openxmlformats.org/officeDocument/2006/relationships/hyperlink" Target="#Ej_F!A1"/><Relationship Id="rId5" Type="http://schemas.openxmlformats.org/officeDocument/2006/relationships/hyperlink" Target="#Ej_E!A1"/><Relationship Id="rId10" Type="http://schemas.openxmlformats.org/officeDocument/2006/relationships/hyperlink" Target="#Ej_PI!A1"/><Relationship Id="rId4" Type="http://schemas.openxmlformats.org/officeDocument/2006/relationships/hyperlink" Target="#Ej_D!A1"/><Relationship Id="rId9" Type="http://schemas.openxmlformats.org/officeDocument/2006/relationships/hyperlink" Target="#Ej_I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Presentacio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Presentacio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Presentacio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Presentacio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Presentacio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Presentacio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Presentacio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Presentacion!A1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Presentacion!A1"/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Presentacio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595785</xdr:colOff>
      <xdr:row>34</xdr:row>
      <xdr:rowOff>7010</xdr:rowOff>
    </xdr:from>
    <xdr:to>
      <xdr:col>12</xdr:col>
      <xdr:colOff>704023</xdr:colOff>
      <xdr:row>38</xdr:row>
      <xdr:rowOff>152756</xdr:rowOff>
    </xdr:to>
    <xdr:sp macro="" textlink="">
      <xdr:nvSpPr>
        <xdr:cNvPr id="5" name="Subtítulo 2"/>
        <xdr:cNvSpPr>
          <a:spLocks noGrp="1"/>
        </xdr:cNvSpPr>
      </xdr:nvSpPr>
      <xdr:spPr>
        <a:xfrm>
          <a:off x="4579720" y="6749053"/>
          <a:ext cx="5964042" cy="974007"/>
        </a:xfrm>
        <a:prstGeom prst="rect">
          <a:avLst/>
        </a:prstGeom>
      </xdr:spPr>
      <xdr:txBody>
        <a:bodyPr vert="horz" wrap="square" lIns="91440" tIns="45720" rIns="91440" bIns="45720" rtlCol="0" anchor="t">
          <a:normAutofit lnSpcReduction="10000"/>
        </a:bodyPr>
        <a:lstStyle>
          <a:lvl1pPr marL="0" indent="0" algn="r" defTabSz="457200" rtl="0" eaLnBrk="1" latinLnBrk="0" hangingPunct="1">
            <a:spcBef>
              <a:spcPts val="0"/>
            </a:spcBef>
            <a:spcAft>
              <a:spcPts val="1000"/>
            </a:spcAft>
            <a:buClr>
              <a:schemeClr val="tx1"/>
            </a:buClr>
            <a:buSzPct val="100000"/>
            <a:buFont typeface="Arial"/>
            <a:buNone/>
            <a:defRPr sz="1800" kern="1200" cap="all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lvl1pPr>
          <a:lvl2pPr marL="457200" indent="0" algn="ctr" defTabSz="457200" rtl="0" eaLnBrk="1" latinLnBrk="0" hangingPunct="1">
            <a:spcBef>
              <a:spcPts val="0"/>
            </a:spcBef>
            <a:spcAft>
              <a:spcPts val="1000"/>
            </a:spcAft>
            <a:buClr>
              <a:schemeClr val="tx1"/>
            </a:buClr>
            <a:buSzPct val="100000"/>
            <a:buFont typeface="Arial"/>
            <a:buNone/>
            <a:defRPr sz="1600" kern="1200" cap="none">
              <a:solidFill>
                <a:schemeClr val="tx1">
                  <a:tint val="75000"/>
                </a:schemeClr>
              </a:solidFill>
              <a:effectLst/>
              <a:latin typeface="+mn-lt"/>
              <a:ea typeface="+mn-ea"/>
              <a:cs typeface="+mn-cs"/>
            </a:defRPr>
          </a:lvl2pPr>
          <a:lvl3pPr marL="914400" indent="0" algn="ctr" defTabSz="457200" rtl="0" eaLnBrk="1" latinLnBrk="0" hangingPunct="1">
            <a:spcBef>
              <a:spcPts val="0"/>
            </a:spcBef>
            <a:spcAft>
              <a:spcPts val="1000"/>
            </a:spcAft>
            <a:buClr>
              <a:schemeClr val="tx1"/>
            </a:buClr>
            <a:buSzPct val="100000"/>
            <a:buFont typeface="Arial"/>
            <a:buNone/>
            <a:defRPr sz="1400" kern="1200" cap="none">
              <a:solidFill>
                <a:schemeClr val="tx1">
                  <a:tint val="75000"/>
                </a:schemeClr>
              </a:solidFill>
              <a:effectLst/>
              <a:latin typeface="+mn-lt"/>
              <a:ea typeface="+mn-ea"/>
              <a:cs typeface="+mn-cs"/>
            </a:defRPr>
          </a:lvl3pPr>
          <a:lvl4pPr marL="1371600" indent="0" algn="ctr" defTabSz="457200" rtl="0" eaLnBrk="1" latinLnBrk="0" hangingPunct="1">
            <a:spcBef>
              <a:spcPts val="0"/>
            </a:spcBef>
            <a:spcAft>
              <a:spcPts val="1000"/>
            </a:spcAft>
            <a:buClr>
              <a:schemeClr val="tx1"/>
            </a:buClr>
            <a:buSzPct val="100000"/>
            <a:buFont typeface="Arial"/>
            <a:buNone/>
            <a:defRPr sz="1200" kern="1200" cap="none">
              <a:solidFill>
                <a:schemeClr val="tx1">
                  <a:tint val="75000"/>
                </a:schemeClr>
              </a:solidFill>
              <a:effectLst/>
              <a:latin typeface="+mn-lt"/>
              <a:ea typeface="+mn-ea"/>
              <a:cs typeface="+mn-cs"/>
            </a:defRPr>
          </a:lvl4pPr>
          <a:lvl5pPr marL="1828800" indent="0" algn="ctr" defTabSz="457200" rtl="0" eaLnBrk="1" latinLnBrk="0" hangingPunct="1">
            <a:spcBef>
              <a:spcPts val="0"/>
            </a:spcBef>
            <a:spcAft>
              <a:spcPts val="1000"/>
            </a:spcAft>
            <a:buClr>
              <a:schemeClr val="tx1"/>
            </a:buClr>
            <a:buSzPct val="100000"/>
            <a:buFont typeface="Arial"/>
            <a:buNone/>
            <a:defRPr sz="1200" kern="1200" cap="none">
              <a:solidFill>
                <a:schemeClr val="tx1">
                  <a:tint val="75000"/>
                </a:schemeClr>
              </a:solidFill>
              <a:effectLst/>
              <a:latin typeface="+mn-lt"/>
              <a:ea typeface="+mn-ea"/>
              <a:cs typeface="+mn-cs"/>
            </a:defRPr>
          </a:lvl5pPr>
          <a:lvl6pPr marL="2286000" indent="0" algn="ctr" defTabSz="457200" rtl="0" eaLnBrk="1" latinLnBrk="0" hangingPunct="1">
            <a:spcBef>
              <a:spcPts val="0"/>
            </a:spcBef>
            <a:spcAft>
              <a:spcPts val="1000"/>
            </a:spcAft>
            <a:buClr>
              <a:schemeClr val="tx1"/>
            </a:buClr>
            <a:buSzPct val="100000"/>
            <a:buFont typeface="Arial"/>
            <a:buNone/>
            <a:defRPr sz="1200" kern="1200" cap="none">
              <a:solidFill>
                <a:schemeClr val="tx1">
                  <a:tint val="75000"/>
                </a:schemeClr>
              </a:solidFill>
              <a:effectLst/>
              <a:latin typeface="+mn-lt"/>
              <a:ea typeface="+mn-ea"/>
              <a:cs typeface="+mn-cs"/>
            </a:defRPr>
          </a:lvl6pPr>
          <a:lvl7pPr marL="2743200" indent="0" algn="ctr" defTabSz="457200" rtl="0" eaLnBrk="1" latinLnBrk="0" hangingPunct="1">
            <a:spcBef>
              <a:spcPts val="0"/>
            </a:spcBef>
            <a:spcAft>
              <a:spcPts val="1000"/>
            </a:spcAft>
            <a:buClr>
              <a:schemeClr val="tx1"/>
            </a:buClr>
            <a:buSzPct val="100000"/>
            <a:buFont typeface="Arial"/>
            <a:buNone/>
            <a:defRPr sz="1200" kern="1200" cap="none">
              <a:solidFill>
                <a:schemeClr val="tx1">
                  <a:tint val="75000"/>
                </a:schemeClr>
              </a:solidFill>
              <a:effectLst/>
              <a:latin typeface="+mn-lt"/>
              <a:ea typeface="+mn-ea"/>
              <a:cs typeface="+mn-cs"/>
            </a:defRPr>
          </a:lvl7pPr>
          <a:lvl8pPr marL="3200400" indent="0" algn="ctr" defTabSz="457200" rtl="0" eaLnBrk="1" latinLnBrk="0" hangingPunct="1">
            <a:spcBef>
              <a:spcPts val="0"/>
            </a:spcBef>
            <a:spcAft>
              <a:spcPts val="1000"/>
            </a:spcAft>
            <a:buClr>
              <a:schemeClr val="tx1"/>
            </a:buClr>
            <a:buSzPct val="100000"/>
            <a:buFont typeface="Arial"/>
            <a:buNone/>
            <a:defRPr sz="1200" kern="1200" cap="none">
              <a:solidFill>
                <a:schemeClr val="tx1">
                  <a:tint val="75000"/>
                </a:schemeClr>
              </a:solidFill>
              <a:effectLst/>
              <a:latin typeface="+mn-lt"/>
              <a:ea typeface="+mn-ea"/>
              <a:cs typeface="+mn-cs"/>
            </a:defRPr>
          </a:lvl8pPr>
          <a:lvl9pPr marL="3657600" indent="0" algn="ctr" defTabSz="457200" rtl="0" eaLnBrk="1" latinLnBrk="0" hangingPunct="1">
            <a:spcBef>
              <a:spcPts val="0"/>
            </a:spcBef>
            <a:spcAft>
              <a:spcPts val="1000"/>
            </a:spcAft>
            <a:buClr>
              <a:schemeClr val="tx1"/>
            </a:buClr>
            <a:buSzPct val="100000"/>
            <a:buFont typeface="Arial"/>
            <a:buNone/>
            <a:defRPr sz="1200" kern="1200" cap="none">
              <a:solidFill>
                <a:schemeClr val="tx1">
                  <a:tint val="75000"/>
                </a:schemeClr>
              </a:solidFill>
              <a:effectLst/>
              <a:latin typeface="+mn-lt"/>
              <a:ea typeface="+mn-ea"/>
              <a:cs typeface="+mn-cs"/>
            </a:defRPr>
          </a:lvl9pPr>
        </a:lstStyle>
        <a:p>
          <a:r>
            <a:rPr lang="es-ES" sz="2000" b="1"/>
            <a:t>Fredy Sanchez Arteaga</a:t>
          </a:r>
        </a:p>
        <a:p>
          <a:r>
            <a:rPr lang="es-ES" sz="1600" b="1"/>
            <a:t>Quito, enero 11 del 2015</a:t>
          </a:r>
        </a:p>
        <a:p>
          <a:endParaRPr lang="es-ES"/>
        </a:p>
        <a:p>
          <a:endParaRPr lang="es-ES"/>
        </a:p>
      </xdr:txBody>
    </xdr:sp>
    <xdr:clientData/>
  </xdr:twoCellAnchor>
  <xdr:twoCellAnchor>
    <xdr:from>
      <xdr:col>0</xdr:col>
      <xdr:colOff>382657</xdr:colOff>
      <xdr:row>1</xdr:row>
      <xdr:rowOff>84483</xdr:rowOff>
    </xdr:from>
    <xdr:to>
      <xdr:col>12</xdr:col>
      <xdr:colOff>828676</xdr:colOff>
      <xdr:row>4</xdr:row>
      <xdr:rowOff>84483</xdr:rowOff>
    </xdr:to>
    <xdr:sp macro="" textlink="">
      <xdr:nvSpPr>
        <xdr:cNvPr id="6" name="Rectángulo 5"/>
        <xdr:cNvSpPr/>
      </xdr:nvSpPr>
      <xdr:spPr>
        <a:xfrm>
          <a:off x="382657" y="291548"/>
          <a:ext cx="10285758" cy="6211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4800" b="1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  <a:latin typeface="Copperplate Gothic Bold" panose="020E0705020206020404" pitchFamily="34" charset="0"/>
            </a:rPr>
            <a:t>EVALUACION DE PROYECTOS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entury Gothic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1</xdr:col>
          <xdr:colOff>828675</xdr:colOff>
          <xdr:row>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entury Gothic"/>
                </a:rPr>
                <a:t>Salir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9525</xdr:colOff>
      <xdr:row>11</xdr:row>
      <xdr:rowOff>0</xdr:rowOff>
    </xdr:from>
    <xdr:to>
      <xdr:col>4</xdr:col>
      <xdr:colOff>485775</xdr:colOff>
      <xdr:row>11</xdr:row>
      <xdr:rowOff>198783</xdr:rowOff>
    </xdr:to>
    <xdr:sp macro="" textlink="">
      <xdr:nvSpPr>
        <xdr:cNvPr id="3" name="Flecha derecha 2">
          <a:hlinkClick xmlns:r="http://schemas.openxmlformats.org/officeDocument/2006/relationships" r:id="rId1"/>
        </xdr:cNvPr>
        <xdr:cNvSpPr/>
      </xdr:nvSpPr>
      <xdr:spPr>
        <a:xfrm>
          <a:off x="3355699" y="2277717"/>
          <a:ext cx="476250" cy="198783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4</xdr:col>
      <xdr:colOff>476250</xdr:colOff>
      <xdr:row>14</xdr:row>
      <xdr:rowOff>0</xdr:rowOff>
    </xdr:to>
    <xdr:sp macro="" textlink="">
      <xdr:nvSpPr>
        <xdr:cNvPr id="11" name="Flecha derecha 10">
          <a:hlinkClick xmlns:r="http://schemas.openxmlformats.org/officeDocument/2006/relationships" r:id="rId2"/>
        </xdr:cNvPr>
        <xdr:cNvSpPr/>
      </xdr:nvSpPr>
      <xdr:spPr>
        <a:xfrm>
          <a:off x="4191000" y="2933700"/>
          <a:ext cx="476250" cy="209550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4</xdr:col>
      <xdr:colOff>476250</xdr:colOff>
      <xdr:row>16</xdr:row>
      <xdr:rowOff>0</xdr:rowOff>
    </xdr:to>
    <xdr:sp macro="" textlink="">
      <xdr:nvSpPr>
        <xdr:cNvPr id="12" name="Flecha derecha 11">
          <a:hlinkClick xmlns:r="http://schemas.openxmlformats.org/officeDocument/2006/relationships" r:id="rId3"/>
        </xdr:cNvPr>
        <xdr:cNvSpPr/>
      </xdr:nvSpPr>
      <xdr:spPr>
        <a:xfrm>
          <a:off x="4191000" y="3352800"/>
          <a:ext cx="476250" cy="209550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4</xdr:col>
      <xdr:colOff>476250</xdr:colOff>
      <xdr:row>18</xdr:row>
      <xdr:rowOff>0</xdr:rowOff>
    </xdr:to>
    <xdr:sp macro="" textlink="">
      <xdr:nvSpPr>
        <xdr:cNvPr id="13" name="Flecha derecha 12">
          <a:hlinkClick xmlns:r="http://schemas.openxmlformats.org/officeDocument/2006/relationships" r:id="rId4"/>
        </xdr:cNvPr>
        <xdr:cNvSpPr/>
      </xdr:nvSpPr>
      <xdr:spPr>
        <a:xfrm>
          <a:off x="4191000" y="3771900"/>
          <a:ext cx="476250" cy="209550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4</xdr:col>
      <xdr:colOff>476250</xdr:colOff>
      <xdr:row>20</xdr:row>
      <xdr:rowOff>0</xdr:rowOff>
    </xdr:to>
    <xdr:sp macro="" textlink="">
      <xdr:nvSpPr>
        <xdr:cNvPr id="10" name="Flecha derecha 9">
          <a:hlinkClick xmlns:r="http://schemas.openxmlformats.org/officeDocument/2006/relationships" r:id="rId5"/>
        </xdr:cNvPr>
        <xdr:cNvSpPr/>
      </xdr:nvSpPr>
      <xdr:spPr>
        <a:xfrm>
          <a:off x="4202206" y="4258235"/>
          <a:ext cx="476250" cy="212912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4</xdr:col>
      <xdr:colOff>476250</xdr:colOff>
      <xdr:row>22</xdr:row>
      <xdr:rowOff>0</xdr:rowOff>
    </xdr:to>
    <xdr:sp macro="" textlink="">
      <xdr:nvSpPr>
        <xdr:cNvPr id="14" name="Flecha derecha 13">
          <a:hlinkClick xmlns:r="http://schemas.openxmlformats.org/officeDocument/2006/relationships" r:id="rId6"/>
        </xdr:cNvPr>
        <xdr:cNvSpPr/>
      </xdr:nvSpPr>
      <xdr:spPr>
        <a:xfrm>
          <a:off x="4202206" y="4684059"/>
          <a:ext cx="476250" cy="212912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4</xdr:col>
      <xdr:colOff>476250</xdr:colOff>
      <xdr:row>24</xdr:row>
      <xdr:rowOff>0</xdr:rowOff>
    </xdr:to>
    <xdr:sp macro="" textlink="">
      <xdr:nvSpPr>
        <xdr:cNvPr id="15" name="Flecha derecha 14">
          <a:hlinkClick xmlns:r="http://schemas.openxmlformats.org/officeDocument/2006/relationships" r:id="rId7"/>
        </xdr:cNvPr>
        <xdr:cNvSpPr/>
      </xdr:nvSpPr>
      <xdr:spPr>
        <a:xfrm>
          <a:off x="4202206" y="5109882"/>
          <a:ext cx="476250" cy="212912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4</xdr:col>
      <xdr:colOff>476250</xdr:colOff>
      <xdr:row>26</xdr:row>
      <xdr:rowOff>0</xdr:rowOff>
    </xdr:to>
    <xdr:sp macro="" textlink="">
      <xdr:nvSpPr>
        <xdr:cNvPr id="16" name="Flecha derecha 15">
          <a:hlinkClick xmlns:r="http://schemas.openxmlformats.org/officeDocument/2006/relationships" r:id="rId8"/>
        </xdr:cNvPr>
        <xdr:cNvSpPr/>
      </xdr:nvSpPr>
      <xdr:spPr>
        <a:xfrm>
          <a:off x="4202206" y="5535706"/>
          <a:ext cx="476250" cy="212912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11206</xdr:colOff>
      <xdr:row>27</xdr:row>
      <xdr:rowOff>112059</xdr:rowOff>
    </xdr:from>
    <xdr:to>
      <xdr:col>4</xdr:col>
      <xdr:colOff>487456</xdr:colOff>
      <xdr:row>27</xdr:row>
      <xdr:rowOff>324971</xdr:rowOff>
    </xdr:to>
    <xdr:sp macro="" textlink="">
      <xdr:nvSpPr>
        <xdr:cNvPr id="17" name="Flecha derecha 16">
          <a:hlinkClick xmlns:r="http://schemas.openxmlformats.org/officeDocument/2006/relationships" r:id="rId9"/>
        </xdr:cNvPr>
        <xdr:cNvSpPr/>
      </xdr:nvSpPr>
      <xdr:spPr>
        <a:xfrm>
          <a:off x="4213412" y="6073588"/>
          <a:ext cx="476250" cy="212912"/>
        </a:xfrm>
        <a:prstGeom prst="righ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16565</xdr:colOff>
      <xdr:row>31</xdr:row>
      <xdr:rowOff>91109</xdr:rowOff>
    </xdr:from>
    <xdr:to>
      <xdr:col>4</xdr:col>
      <xdr:colOff>492815</xdr:colOff>
      <xdr:row>32</xdr:row>
      <xdr:rowOff>91109</xdr:rowOff>
    </xdr:to>
    <xdr:sp macro="" textlink="">
      <xdr:nvSpPr>
        <xdr:cNvPr id="18" name="Flecha derecha 17">
          <a:hlinkClick xmlns:r="http://schemas.openxmlformats.org/officeDocument/2006/relationships" r:id="rId10"/>
        </xdr:cNvPr>
        <xdr:cNvSpPr/>
      </xdr:nvSpPr>
      <xdr:spPr>
        <a:xfrm>
          <a:off x="3362739" y="6211957"/>
          <a:ext cx="476250" cy="207065"/>
        </a:xfrm>
        <a:prstGeom prst="right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390525</xdr:colOff>
      <xdr:row>23</xdr:row>
      <xdr:rowOff>0</xdr:rowOff>
    </xdr:from>
    <xdr:to>
      <xdr:col>10</xdr:col>
      <xdr:colOff>885825</xdr:colOff>
      <xdr:row>24</xdr:row>
      <xdr:rowOff>0</xdr:rowOff>
    </xdr:to>
    <xdr:sp macro="" textlink="">
      <xdr:nvSpPr>
        <xdr:cNvPr id="2" name="Flecha izquierda 1">
          <a:hlinkClick xmlns:r="http://schemas.openxmlformats.org/officeDocument/2006/relationships" r:id="rId1"/>
        </xdr:cNvPr>
        <xdr:cNvSpPr/>
      </xdr:nvSpPr>
      <xdr:spPr>
        <a:xfrm>
          <a:off x="10782300" y="4848225"/>
          <a:ext cx="495300" cy="209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251114</xdr:colOff>
      <xdr:row>23</xdr:row>
      <xdr:rowOff>0</xdr:rowOff>
    </xdr:from>
    <xdr:to>
      <xdr:col>10</xdr:col>
      <xdr:colOff>753342</xdr:colOff>
      <xdr:row>23</xdr:row>
      <xdr:rowOff>190500</xdr:rowOff>
    </xdr:to>
    <xdr:sp macro="" textlink="">
      <xdr:nvSpPr>
        <xdr:cNvPr id="2" name="Flecha izquierda 1">
          <a:hlinkClick xmlns:r="http://schemas.openxmlformats.org/officeDocument/2006/relationships" r:id="rId1"/>
        </xdr:cNvPr>
        <xdr:cNvSpPr/>
      </xdr:nvSpPr>
      <xdr:spPr>
        <a:xfrm>
          <a:off x="9906000" y="4814455"/>
          <a:ext cx="502228" cy="1905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615462</xdr:colOff>
      <xdr:row>28</xdr:row>
      <xdr:rowOff>124558</xdr:rowOff>
    </xdr:from>
    <xdr:to>
      <xdr:col>7</xdr:col>
      <xdr:colOff>0</xdr:colOff>
      <xdr:row>29</xdr:row>
      <xdr:rowOff>73269</xdr:rowOff>
    </xdr:to>
    <xdr:sp macro="" textlink="">
      <xdr:nvSpPr>
        <xdr:cNvPr id="2" name="Flecha izquierda 1">
          <a:hlinkClick xmlns:r="http://schemas.openxmlformats.org/officeDocument/2006/relationships" r:id="rId1"/>
        </xdr:cNvPr>
        <xdr:cNvSpPr/>
      </xdr:nvSpPr>
      <xdr:spPr>
        <a:xfrm>
          <a:off x="7546731" y="6103327"/>
          <a:ext cx="432288" cy="16119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88</xdr:row>
      <xdr:rowOff>104775</xdr:rowOff>
    </xdr:from>
    <xdr:to>
      <xdr:col>11</xdr:col>
      <xdr:colOff>952500</xdr:colOff>
      <xdr:row>89</xdr:row>
      <xdr:rowOff>104774</xdr:rowOff>
    </xdr:to>
    <xdr:sp macro="" textlink="">
      <xdr:nvSpPr>
        <xdr:cNvPr id="2" name="Flecha izquierda 1">
          <a:hlinkClick xmlns:r="http://schemas.openxmlformats.org/officeDocument/2006/relationships" r:id="rId1"/>
        </xdr:cNvPr>
        <xdr:cNvSpPr/>
      </xdr:nvSpPr>
      <xdr:spPr>
        <a:xfrm>
          <a:off x="11068050" y="18573750"/>
          <a:ext cx="504825" cy="20954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1466850</xdr:colOff>
      <xdr:row>89</xdr:row>
      <xdr:rowOff>0</xdr:rowOff>
    </xdr:from>
    <xdr:to>
      <xdr:col>4</xdr:col>
      <xdr:colOff>1990725</xdr:colOff>
      <xdr:row>89</xdr:row>
      <xdr:rowOff>180975</xdr:rowOff>
    </xdr:to>
    <xdr:sp macro="" textlink="">
      <xdr:nvSpPr>
        <xdr:cNvPr id="2" name="Flecha izquierda 1">
          <a:hlinkClick xmlns:r="http://schemas.openxmlformats.org/officeDocument/2006/relationships" r:id="rId1"/>
        </xdr:cNvPr>
        <xdr:cNvSpPr/>
      </xdr:nvSpPr>
      <xdr:spPr>
        <a:xfrm>
          <a:off x="8734425" y="18678525"/>
          <a:ext cx="523875" cy="1809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1057275</xdr:colOff>
      <xdr:row>83</xdr:row>
      <xdr:rowOff>9525</xdr:rowOff>
    </xdr:from>
    <xdr:to>
      <xdr:col>5</xdr:col>
      <xdr:colOff>1600200</xdr:colOff>
      <xdr:row>83</xdr:row>
      <xdr:rowOff>200025</xdr:rowOff>
    </xdr:to>
    <xdr:sp macro="" textlink="">
      <xdr:nvSpPr>
        <xdr:cNvPr id="2" name="Flecha izquierda 1">
          <a:hlinkClick xmlns:r="http://schemas.openxmlformats.org/officeDocument/2006/relationships" r:id="rId1"/>
        </xdr:cNvPr>
        <xdr:cNvSpPr/>
      </xdr:nvSpPr>
      <xdr:spPr>
        <a:xfrm>
          <a:off x="8201025" y="19097625"/>
          <a:ext cx="542925" cy="1905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604630</xdr:colOff>
      <xdr:row>14</xdr:row>
      <xdr:rowOff>33131</xdr:rowOff>
    </xdr:from>
    <xdr:to>
      <xdr:col>10</xdr:col>
      <xdr:colOff>993913</xdr:colOff>
      <xdr:row>14</xdr:row>
      <xdr:rowOff>165653</xdr:rowOff>
    </xdr:to>
    <xdr:sp macro="" textlink="">
      <xdr:nvSpPr>
        <xdr:cNvPr id="2" name="Flecha izquierda 1">
          <a:hlinkClick xmlns:r="http://schemas.openxmlformats.org/officeDocument/2006/relationships" r:id="rId1"/>
        </xdr:cNvPr>
        <xdr:cNvSpPr/>
      </xdr:nvSpPr>
      <xdr:spPr>
        <a:xfrm>
          <a:off x="10287000" y="2965174"/>
          <a:ext cx="389283" cy="13252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10025</xdr:colOff>
      <xdr:row>21</xdr:row>
      <xdr:rowOff>7018</xdr:rowOff>
    </xdr:from>
    <xdr:to>
      <xdr:col>11</xdr:col>
      <xdr:colOff>1002631</xdr:colOff>
      <xdr:row>47</xdr:row>
      <xdr:rowOff>40106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159167</xdr:colOff>
      <xdr:row>52</xdr:row>
      <xdr:rowOff>129192</xdr:rowOff>
    </xdr:from>
    <xdr:to>
      <xdr:col>11</xdr:col>
      <xdr:colOff>730667</xdr:colOff>
      <xdr:row>53</xdr:row>
      <xdr:rowOff>81254</xdr:rowOff>
    </xdr:to>
    <xdr:sp macro="" textlink="">
      <xdr:nvSpPr>
        <xdr:cNvPr id="3" name="Flecha izquierda 2">
          <a:hlinkClick xmlns:r="http://schemas.openxmlformats.org/officeDocument/2006/relationships" r:id="rId2"/>
        </xdr:cNvPr>
        <xdr:cNvSpPr/>
      </xdr:nvSpPr>
      <xdr:spPr>
        <a:xfrm>
          <a:off x="12412683" y="11112708"/>
          <a:ext cx="571500" cy="16042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18</xdr:row>
      <xdr:rowOff>95250</xdr:rowOff>
    </xdr:from>
    <xdr:to>
      <xdr:col>15</xdr:col>
      <xdr:colOff>78316</xdr:colOff>
      <xdr:row>50</xdr:row>
      <xdr:rowOff>52916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102659</xdr:colOff>
      <xdr:row>51</xdr:row>
      <xdr:rowOff>19051</xdr:rowOff>
    </xdr:from>
    <xdr:to>
      <xdr:col>14</xdr:col>
      <xdr:colOff>655109</xdr:colOff>
      <xdr:row>51</xdr:row>
      <xdr:rowOff>180976</xdr:rowOff>
    </xdr:to>
    <xdr:sp macro="" textlink="">
      <xdr:nvSpPr>
        <xdr:cNvPr id="3" name="Flecha izquierda 2">
          <a:hlinkClick xmlns:r="http://schemas.openxmlformats.org/officeDocument/2006/relationships" r:id="rId2"/>
        </xdr:cNvPr>
        <xdr:cNvSpPr/>
      </xdr:nvSpPr>
      <xdr:spPr>
        <a:xfrm>
          <a:off x="13575242" y="10634134"/>
          <a:ext cx="552450" cy="1619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632114</xdr:colOff>
      <xdr:row>45</xdr:row>
      <xdr:rowOff>43295</xdr:rowOff>
    </xdr:from>
    <xdr:to>
      <xdr:col>7</xdr:col>
      <xdr:colOff>1117023</xdr:colOff>
      <xdr:row>45</xdr:row>
      <xdr:rowOff>190500</xdr:rowOff>
    </xdr:to>
    <xdr:sp macro="" textlink="">
      <xdr:nvSpPr>
        <xdr:cNvPr id="2" name="Flecha izquierda 1">
          <a:hlinkClick xmlns:r="http://schemas.openxmlformats.org/officeDocument/2006/relationships" r:id="rId1"/>
        </xdr:cNvPr>
        <xdr:cNvSpPr/>
      </xdr:nvSpPr>
      <xdr:spPr>
        <a:xfrm>
          <a:off x="8537864" y="9429750"/>
          <a:ext cx="484909" cy="14720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414617</xdr:colOff>
      <xdr:row>200</xdr:row>
      <xdr:rowOff>25492</xdr:rowOff>
    </xdr:from>
    <xdr:to>
      <xdr:col>10</xdr:col>
      <xdr:colOff>1042147</xdr:colOff>
      <xdr:row>225</xdr:row>
      <xdr:rowOff>11205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C5:N34"/>
  <sheetViews>
    <sheetView showGridLines="0" showRowColHeaders="0" tabSelected="1" zoomScale="115" zoomScaleNormal="115" workbookViewId="0"/>
  </sheetViews>
  <sheetFormatPr baseColWidth="10" defaultRowHeight="16.5" x14ac:dyDescent="0.3"/>
  <cols>
    <col min="5" max="5" width="8.375" customWidth="1"/>
  </cols>
  <sheetData>
    <row r="5" spans="3:11" x14ac:dyDescent="0.3">
      <c r="C5" s="92" t="s">
        <v>91</v>
      </c>
      <c r="D5" s="92"/>
      <c r="E5" s="92"/>
      <c r="F5" s="92"/>
      <c r="G5" s="92"/>
      <c r="H5" s="92"/>
      <c r="I5" s="92"/>
      <c r="J5" s="92"/>
      <c r="K5" s="92"/>
    </row>
    <row r="6" spans="3:11" ht="16.5" customHeight="1" x14ac:dyDescent="0.3">
      <c r="C6" s="92"/>
      <c r="D6" s="92"/>
      <c r="E6" s="92"/>
      <c r="F6" s="92"/>
      <c r="G6" s="92"/>
      <c r="H6" s="92"/>
      <c r="I6" s="92"/>
      <c r="J6" s="92"/>
      <c r="K6" s="92"/>
    </row>
    <row r="7" spans="3:11" ht="16.5" customHeight="1" x14ac:dyDescent="0.3">
      <c r="C7" s="92"/>
      <c r="D7" s="92"/>
      <c r="E7" s="92"/>
      <c r="F7" s="92"/>
      <c r="G7" s="92"/>
      <c r="H7" s="92"/>
      <c r="I7" s="92"/>
      <c r="J7" s="92"/>
      <c r="K7" s="92"/>
    </row>
    <row r="8" spans="3:11" x14ac:dyDescent="0.3">
      <c r="C8" s="92"/>
      <c r="D8" s="92"/>
      <c r="E8" s="92"/>
      <c r="F8" s="92"/>
      <c r="G8" s="92"/>
      <c r="H8" s="92"/>
      <c r="I8" s="92"/>
      <c r="J8" s="92"/>
      <c r="K8" s="92"/>
    </row>
    <row r="9" spans="3:11" x14ac:dyDescent="0.3">
      <c r="C9" s="92"/>
      <c r="D9" s="92"/>
      <c r="E9" s="92"/>
      <c r="F9" s="92"/>
      <c r="G9" s="92"/>
      <c r="H9" s="92"/>
      <c r="I9" s="92"/>
      <c r="J9" s="92"/>
      <c r="K9" s="92"/>
    </row>
    <row r="10" spans="3:11" x14ac:dyDescent="0.3">
      <c r="D10" s="75"/>
      <c r="E10" s="75"/>
      <c r="F10" s="75"/>
      <c r="G10" s="75"/>
      <c r="H10" s="75"/>
      <c r="I10" s="75"/>
      <c r="J10" s="75"/>
      <c r="K10" s="75"/>
    </row>
    <row r="11" spans="3:11" x14ac:dyDescent="0.3">
      <c r="D11" s="3" t="s">
        <v>89</v>
      </c>
    </row>
    <row r="12" spans="3:11" x14ac:dyDescent="0.3">
      <c r="F12" t="s">
        <v>81</v>
      </c>
    </row>
    <row r="13" spans="3:11" ht="9.9499999999999993" customHeight="1" x14ac:dyDescent="0.3"/>
    <row r="14" spans="3:11" x14ac:dyDescent="0.3">
      <c r="F14" t="s">
        <v>80</v>
      </c>
    </row>
    <row r="15" spans="3:11" ht="9.9499999999999993" customHeight="1" x14ac:dyDescent="0.3"/>
    <row r="16" spans="3:11" x14ac:dyDescent="0.3">
      <c r="F16" t="s">
        <v>82</v>
      </c>
    </row>
    <row r="17" spans="4:14" ht="9.9499999999999993" customHeight="1" x14ac:dyDescent="0.3"/>
    <row r="18" spans="4:14" x14ac:dyDescent="0.3">
      <c r="F18" t="s">
        <v>83</v>
      </c>
    </row>
    <row r="19" spans="4:14" ht="9.9499999999999993" customHeight="1" x14ac:dyDescent="0.3"/>
    <row r="20" spans="4:14" x14ac:dyDescent="0.3">
      <c r="F20" t="s">
        <v>84</v>
      </c>
    </row>
    <row r="21" spans="4:14" ht="9.9499999999999993" customHeight="1" x14ac:dyDescent="0.3"/>
    <row r="22" spans="4:14" x14ac:dyDescent="0.3">
      <c r="F22" t="s">
        <v>85</v>
      </c>
    </row>
    <row r="23" spans="4:14" ht="9.9499999999999993" customHeight="1" x14ac:dyDescent="0.3"/>
    <row r="24" spans="4:14" x14ac:dyDescent="0.3">
      <c r="F24" t="s">
        <v>86</v>
      </c>
    </row>
    <row r="25" spans="4:14" ht="9.9499999999999993" customHeight="1" x14ac:dyDescent="0.3"/>
    <row r="26" spans="4:14" x14ac:dyDescent="0.3">
      <c r="F26" t="s">
        <v>87</v>
      </c>
    </row>
    <row r="27" spans="4:14" ht="9.9499999999999993" customHeight="1" x14ac:dyDescent="0.3"/>
    <row r="28" spans="4:14" ht="31.5" customHeight="1" x14ac:dyDescent="0.3">
      <c r="F28" s="94" t="s">
        <v>88</v>
      </c>
      <c r="G28" s="94"/>
      <c r="H28" s="94"/>
      <c r="I28" s="94"/>
      <c r="J28" s="94"/>
      <c r="K28" s="94"/>
      <c r="L28" s="94"/>
      <c r="M28" s="94"/>
    </row>
    <row r="29" spans="4:14" ht="31.5" customHeight="1" x14ac:dyDescent="0.3">
      <c r="D29" s="3" t="s">
        <v>90</v>
      </c>
      <c r="F29" s="74"/>
      <c r="G29" s="74"/>
      <c r="H29" s="74"/>
      <c r="I29" s="74"/>
      <c r="J29" s="74"/>
      <c r="K29" s="74"/>
      <c r="L29" s="74"/>
      <c r="M29" s="74"/>
    </row>
    <row r="30" spans="4:14" ht="15" customHeight="1" x14ac:dyDescent="0.3">
      <c r="D30" s="3"/>
      <c r="F30" s="74"/>
      <c r="G30" s="74"/>
      <c r="H30" s="74"/>
      <c r="I30" s="74"/>
      <c r="J30" s="74"/>
      <c r="K30" s="74"/>
      <c r="L30" s="74"/>
      <c r="M30" s="74"/>
    </row>
    <row r="31" spans="4:14" ht="16.5" customHeight="1" x14ac:dyDescent="0.3">
      <c r="F31" s="93" t="s">
        <v>92</v>
      </c>
      <c r="G31" s="93"/>
      <c r="H31" s="93"/>
      <c r="I31" s="93"/>
      <c r="J31" s="93"/>
      <c r="K31" s="93"/>
      <c r="L31" s="93"/>
      <c r="M31" s="93"/>
      <c r="N31" s="93"/>
    </row>
    <row r="32" spans="4:14" x14ac:dyDescent="0.3">
      <c r="F32" s="93"/>
      <c r="G32" s="93"/>
      <c r="H32" s="93"/>
      <c r="I32" s="93"/>
      <c r="J32" s="93"/>
      <c r="K32" s="93"/>
      <c r="L32" s="93"/>
      <c r="M32" s="93"/>
      <c r="N32" s="93"/>
    </row>
    <row r="33" spans="6:14" x14ac:dyDescent="0.3">
      <c r="F33" s="93"/>
      <c r="G33" s="93"/>
      <c r="H33" s="93"/>
      <c r="I33" s="93"/>
      <c r="J33" s="93"/>
      <c r="K33" s="93"/>
      <c r="L33" s="93"/>
      <c r="M33" s="93"/>
      <c r="N33" s="93"/>
    </row>
    <row r="34" spans="6:14" x14ac:dyDescent="0.3">
      <c r="F34" s="93"/>
      <c r="G34" s="93"/>
      <c r="H34" s="93"/>
      <c r="I34" s="93"/>
      <c r="J34" s="93"/>
      <c r="K34" s="93"/>
      <c r="L34" s="93"/>
      <c r="M34" s="93"/>
      <c r="N34" s="93"/>
    </row>
  </sheetData>
  <mergeCells count="3">
    <mergeCell ref="C5:K9"/>
    <mergeCell ref="F31:N34"/>
    <mergeCell ref="F28:M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_xludf.Hide">
                <anchor moveWithCells="1" sizeWithCells="1">
                  <from>
                    <xdr:col>0</xdr:col>
                    <xdr:colOff>19050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_xludf.Unhide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1</xdr:col>
                    <xdr:colOff>828675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K24"/>
  <sheetViews>
    <sheetView showGridLines="0" showRowColHeaders="0" zoomScale="110" zoomScaleNormal="110" workbookViewId="0">
      <selection activeCell="B7" sqref="B7"/>
    </sheetView>
  </sheetViews>
  <sheetFormatPr baseColWidth="10" defaultRowHeight="16.5" x14ac:dyDescent="0.3"/>
  <cols>
    <col min="1" max="1" width="10.125" customWidth="1"/>
    <col min="3" max="3" width="15.125" customWidth="1"/>
    <col min="4" max="4" width="15" customWidth="1"/>
    <col min="5" max="5" width="14.875" customWidth="1"/>
    <col min="6" max="6" width="13.25" customWidth="1"/>
    <col min="7" max="7" width="13.375" customWidth="1"/>
    <col min="8" max="8" width="13.25" customWidth="1"/>
    <col min="10" max="10" width="12.5" customWidth="1"/>
    <col min="11" max="11" width="13.375" customWidth="1"/>
  </cols>
  <sheetData>
    <row r="1" spans="2:11" ht="18.75" x14ac:dyDescent="0.3">
      <c r="B1" s="100" t="s">
        <v>95</v>
      </c>
      <c r="C1" s="100"/>
      <c r="D1" s="100"/>
      <c r="E1" s="100"/>
      <c r="F1" s="100"/>
      <c r="G1" s="100"/>
      <c r="H1" s="100"/>
      <c r="I1" s="100"/>
      <c r="J1" s="100"/>
      <c r="K1" s="100"/>
    </row>
    <row r="3" spans="2:11" x14ac:dyDescent="0.3">
      <c r="B3" s="99" t="str">
        <f>Presentacion!F12</f>
        <v>Valor Presente Neto de cada proyecto.</v>
      </c>
      <c r="C3" s="99"/>
      <c r="D3" s="99"/>
      <c r="E3" s="99"/>
      <c r="F3" s="99"/>
      <c r="G3" s="99"/>
      <c r="H3" s="99"/>
      <c r="I3" s="99"/>
      <c r="J3" s="99"/>
      <c r="K3" s="99"/>
    </row>
    <row r="5" spans="2:11" x14ac:dyDescent="0.3">
      <c r="B5" s="95" t="s">
        <v>0</v>
      </c>
      <c r="C5" s="95"/>
      <c r="D5" s="95"/>
      <c r="E5" s="95"/>
      <c r="F5" s="70">
        <v>0.19</v>
      </c>
      <c r="G5" s="70"/>
      <c r="I5" s="96" t="s">
        <v>94</v>
      </c>
      <c r="J5" s="97"/>
      <c r="K5" s="98"/>
    </row>
    <row r="7" spans="2:11" x14ac:dyDescent="0.3">
      <c r="B7" s="69" t="s">
        <v>1</v>
      </c>
      <c r="C7" s="69" t="s">
        <v>2</v>
      </c>
      <c r="D7" s="69" t="s">
        <v>3</v>
      </c>
      <c r="E7" s="69" t="s">
        <v>4</v>
      </c>
      <c r="F7" s="69" t="s">
        <v>5</v>
      </c>
      <c r="G7" s="69" t="s">
        <v>6</v>
      </c>
      <c r="I7" s="68" t="s">
        <v>79</v>
      </c>
      <c r="J7" s="68" t="s">
        <v>93</v>
      </c>
      <c r="K7" s="68" t="s">
        <v>41</v>
      </c>
    </row>
    <row r="8" spans="2:11" x14ac:dyDescent="0.3">
      <c r="B8" s="18">
        <v>0</v>
      </c>
      <c r="C8" s="15">
        <v>-1500000</v>
      </c>
      <c r="D8" s="15">
        <v>-1900000</v>
      </c>
      <c r="E8" s="15">
        <v>-600000</v>
      </c>
      <c r="F8" s="15">
        <v>-500000</v>
      </c>
      <c r="G8" s="15">
        <v>-900000</v>
      </c>
      <c r="I8" s="18">
        <v>1</v>
      </c>
      <c r="J8" s="22" t="str">
        <f>C22</f>
        <v>PROYECTO 1</v>
      </c>
      <c r="K8" s="22">
        <f>C23</f>
        <v>27569.95025504427</v>
      </c>
    </row>
    <row r="9" spans="2:11" x14ac:dyDescent="0.3">
      <c r="B9" s="18">
        <v>1</v>
      </c>
      <c r="C9" s="15">
        <v>280000</v>
      </c>
      <c r="D9" s="15">
        <v>300000</v>
      </c>
      <c r="E9" s="15">
        <v>200000</v>
      </c>
      <c r="F9" s="15">
        <v>350000</v>
      </c>
      <c r="G9" s="15">
        <v>200000</v>
      </c>
      <c r="I9" s="18">
        <v>2</v>
      </c>
      <c r="J9" s="22" t="str">
        <f>E22</f>
        <v>PROYECTO 3</v>
      </c>
      <c r="K9" s="22">
        <f>E23</f>
        <v>11526.977967361687</v>
      </c>
    </row>
    <row r="10" spans="2:11" x14ac:dyDescent="0.3">
      <c r="B10" s="18">
        <v>2</v>
      </c>
      <c r="C10" s="15">
        <v>303000</v>
      </c>
      <c r="D10" s="15">
        <v>322000</v>
      </c>
      <c r="E10" s="15">
        <v>200000</v>
      </c>
      <c r="F10" s="15">
        <v>300000</v>
      </c>
      <c r="G10" s="15">
        <v>250000</v>
      </c>
      <c r="I10" s="18">
        <v>3</v>
      </c>
      <c r="J10" s="22" t="str">
        <f>F22</f>
        <v>PROYECTO 4</v>
      </c>
      <c r="K10" s="22">
        <f>F23</f>
        <v>5967.0927194406977</v>
      </c>
    </row>
    <row r="11" spans="2:11" x14ac:dyDescent="0.3">
      <c r="B11" s="18">
        <v>3</v>
      </c>
      <c r="C11" s="15">
        <v>326000</v>
      </c>
      <c r="D11" s="15">
        <v>344000</v>
      </c>
      <c r="E11" s="15">
        <v>200000</v>
      </c>
      <c r="F11" s="15"/>
      <c r="G11" s="15">
        <v>300000</v>
      </c>
      <c r="I11" s="18">
        <v>4</v>
      </c>
      <c r="J11" s="22" t="str">
        <f>G22</f>
        <v>PROYECTO 5</v>
      </c>
      <c r="K11" s="22">
        <f>G23</f>
        <v>-35213.012774276431</v>
      </c>
    </row>
    <row r="12" spans="2:11" x14ac:dyDescent="0.3">
      <c r="B12" s="18">
        <v>4</v>
      </c>
      <c r="C12" s="15">
        <v>349000</v>
      </c>
      <c r="D12" s="15">
        <v>366000</v>
      </c>
      <c r="E12" s="15">
        <v>200000</v>
      </c>
      <c r="F12" s="15"/>
      <c r="G12" s="15">
        <v>350000</v>
      </c>
      <c r="I12" s="18">
        <v>5</v>
      </c>
      <c r="J12" s="22" t="str">
        <f>D22</f>
        <v>PROYECTO 2</v>
      </c>
      <c r="K12" s="22">
        <f>D23</f>
        <v>-299245.62142777839</v>
      </c>
    </row>
    <row r="13" spans="2:11" x14ac:dyDescent="0.3">
      <c r="B13" s="18">
        <v>5</v>
      </c>
      <c r="C13" s="15">
        <v>372000</v>
      </c>
      <c r="D13" s="15">
        <v>388000</v>
      </c>
      <c r="E13" s="15">
        <v>200000</v>
      </c>
      <c r="F13" s="15"/>
      <c r="G13" s="15">
        <v>400000</v>
      </c>
    </row>
    <row r="14" spans="2:11" x14ac:dyDescent="0.3">
      <c r="B14" s="18">
        <v>6</v>
      </c>
      <c r="C14" s="15">
        <v>395000</v>
      </c>
      <c r="D14" s="15">
        <v>410000</v>
      </c>
      <c r="E14" s="15"/>
      <c r="F14" s="15"/>
      <c r="G14" s="15"/>
    </row>
    <row r="15" spans="2:11" x14ac:dyDescent="0.3">
      <c r="B15" s="18">
        <v>7</v>
      </c>
      <c r="C15" s="15">
        <v>418000</v>
      </c>
      <c r="D15" s="15">
        <v>432000</v>
      </c>
      <c r="E15" s="15"/>
      <c r="F15" s="15"/>
      <c r="G15" s="15"/>
    </row>
    <row r="16" spans="2:11" x14ac:dyDescent="0.3">
      <c r="B16" s="18">
        <v>8</v>
      </c>
      <c r="C16" s="15">
        <v>441000</v>
      </c>
      <c r="D16" s="15">
        <v>454000</v>
      </c>
      <c r="E16" s="15"/>
      <c r="F16" s="15"/>
      <c r="G16" s="15"/>
    </row>
    <row r="17" spans="2:7" x14ac:dyDescent="0.3">
      <c r="B17" s="18">
        <v>9</v>
      </c>
      <c r="C17" s="15">
        <v>464000</v>
      </c>
      <c r="D17" s="15">
        <v>476000</v>
      </c>
      <c r="E17" s="15"/>
      <c r="F17" s="15"/>
      <c r="G17" s="15"/>
    </row>
    <row r="18" spans="2:7" x14ac:dyDescent="0.3">
      <c r="B18" s="18">
        <v>10</v>
      </c>
      <c r="C18" s="15">
        <v>487000</v>
      </c>
      <c r="D18" s="15">
        <v>498000</v>
      </c>
      <c r="E18" s="15"/>
      <c r="F18" s="15"/>
      <c r="G18" s="15"/>
    </row>
    <row r="19" spans="2:7" x14ac:dyDescent="0.3">
      <c r="B19" s="11"/>
      <c r="C19" s="12"/>
      <c r="D19" s="12"/>
      <c r="E19" s="12"/>
      <c r="F19" s="12"/>
      <c r="G19" s="12"/>
    </row>
    <row r="20" spans="2:7" x14ac:dyDescent="0.3">
      <c r="B20" s="42" t="s">
        <v>44</v>
      </c>
      <c r="C20" s="12"/>
      <c r="D20" s="12"/>
      <c r="E20" s="12"/>
      <c r="F20" s="12"/>
      <c r="G20" s="12"/>
    </row>
    <row r="21" spans="2:7" x14ac:dyDescent="0.3">
      <c r="B21" s="11"/>
      <c r="C21" s="12"/>
      <c r="D21" s="12"/>
      <c r="E21" s="12"/>
      <c r="F21" s="12"/>
      <c r="G21" s="12"/>
    </row>
    <row r="22" spans="2:7" x14ac:dyDescent="0.3">
      <c r="B22" s="11"/>
      <c r="C22" s="69" t="s">
        <v>2</v>
      </c>
      <c r="D22" s="69" t="s">
        <v>3</v>
      </c>
      <c r="E22" s="69" t="s">
        <v>4</v>
      </c>
      <c r="F22" s="69" t="s">
        <v>5</v>
      </c>
      <c r="G22" s="69" t="s">
        <v>6</v>
      </c>
    </row>
    <row r="23" spans="2:7" x14ac:dyDescent="0.3">
      <c r="B23" s="71" t="s">
        <v>7</v>
      </c>
      <c r="C23" s="43">
        <f>NPV(F5,C9:C18)+C8</f>
        <v>27569.95025504427</v>
      </c>
      <c r="D23" s="15">
        <f>NPV(F5,D9:D18)+D8</f>
        <v>-299245.62142777839</v>
      </c>
      <c r="E23" s="15">
        <f>NPV(F5,E9:E13)+E8</f>
        <v>11526.977967361687</v>
      </c>
      <c r="F23" s="15">
        <f>NPV(F5,F9:F10)+F8</f>
        <v>5967.0927194406977</v>
      </c>
      <c r="G23" s="15">
        <f>NPV(F5,G9:G13)+G8</f>
        <v>-35213.012774276431</v>
      </c>
    </row>
    <row r="24" spans="2:7" x14ac:dyDescent="0.3">
      <c r="B24" s="42"/>
      <c r="C24" s="36">
        <v>1</v>
      </c>
      <c r="D24" s="36">
        <v>5</v>
      </c>
      <c r="E24" s="36">
        <v>2</v>
      </c>
      <c r="F24" s="36">
        <v>3</v>
      </c>
      <c r="G24" s="36">
        <v>4</v>
      </c>
    </row>
  </sheetData>
  <mergeCells count="4">
    <mergeCell ref="B5:E5"/>
    <mergeCell ref="I5:K5"/>
    <mergeCell ref="B3:K3"/>
    <mergeCell ref="B1:K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K24"/>
  <sheetViews>
    <sheetView showGridLines="0" showRowColHeaders="0" zoomScale="110" zoomScaleNormal="110" workbookViewId="0">
      <selection activeCell="I5" sqref="I5:K5"/>
    </sheetView>
  </sheetViews>
  <sheetFormatPr baseColWidth="10" defaultRowHeight="16.5" x14ac:dyDescent="0.3"/>
  <cols>
    <col min="2" max="2" width="11.375" customWidth="1"/>
    <col min="3" max="4" width="14.75" customWidth="1"/>
    <col min="5" max="5" width="13.625" customWidth="1"/>
    <col min="6" max="6" width="13.25" customWidth="1"/>
    <col min="7" max="7" width="13.125" customWidth="1"/>
    <col min="10" max="10" width="12.625" customWidth="1"/>
  </cols>
  <sheetData>
    <row r="1" spans="2:11" ht="18.75" x14ac:dyDescent="0.3">
      <c r="B1" s="100" t="s">
        <v>95</v>
      </c>
      <c r="C1" s="100"/>
      <c r="D1" s="100"/>
      <c r="E1" s="100"/>
      <c r="F1" s="100"/>
      <c r="G1" s="100"/>
      <c r="H1" s="100"/>
      <c r="I1" s="100"/>
      <c r="J1" s="100"/>
      <c r="K1" s="100"/>
    </row>
    <row r="3" spans="2:11" x14ac:dyDescent="0.3">
      <c r="B3" s="99" t="str">
        <f>Presentacion!F14</f>
        <v>Tasa Interna de Retorno de cada proyecto.</v>
      </c>
      <c r="C3" s="99"/>
      <c r="D3" s="99"/>
      <c r="E3" s="99"/>
      <c r="F3" s="99"/>
      <c r="G3" s="99"/>
      <c r="H3" s="99"/>
      <c r="I3" s="99"/>
      <c r="J3" s="99"/>
      <c r="K3" s="99"/>
    </row>
    <row r="5" spans="2:11" x14ac:dyDescent="0.3">
      <c r="B5" s="95" t="s">
        <v>0</v>
      </c>
      <c r="C5" s="95"/>
      <c r="D5" s="95"/>
      <c r="E5" s="95"/>
      <c r="F5" s="70">
        <v>0.19</v>
      </c>
      <c r="G5" s="70"/>
      <c r="I5" s="96" t="s">
        <v>94</v>
      </c>
      <c r="J5" s="97"/>
      <c r="K5" s="98"/>
    </row>
    <row r="7" spans="2:11" x14ac:dyDescent="0.3">
      <c r="B7" s="69" t="s">
        <v>1</v>
      </c>
      <c r="C7" s="69" t="s">
        <v>2</v>
      </c>
      <c r="D7" s="69" t="s">
        <v>3</v>
      </c>
      <c r="E7" s="69" t="s">
        <v>4</v>
      </c>
      <c r="F7" s="69" t="s">
        <v>5</v>
      </c>
      <c r="G7" s="69" t="s">
        <v>6</v>
      </c>
      <c r="I7" s="68" t="s">
        <v>79</v>
      </c>
      <c r="J7" s="68" t="s">
        <v>93</v>
      </c>
      <c r="K7" s="68" t="s">
        <v>41</v>
      </c>
    </row>
    <row r="8" spans="2:11" x14ac:dyDescent="0.3">
      <c r="B8" s="18">
        <v>0</v>
      </c>
      <c r="C8" s="15">
        <v>-1500000</v>
      </c>
      <c r="D8" s="15">
        <v>-1900000</v>
      </c>
      <c r="E8" s="15">
        <v>-600000</v>
      </c>
      <c r="F8" s="15">
        <v>-500000</v>
      </c>
      <c r="G8" s="15">
        <v>-900000</v>
      </c>
      <c r="I8" s="18">
        <v>1</v>
      </c>
      <c r="J8" s="22" t="str">
        <f>F22</f>
        <v>PROYECTO 4</v>
      </c>
      <c r="K8" s="20">
        <f>F23</f>
        <v>0.20000000000000018</v>
      </c>
    </row>
    <row r="9" spans="2:11" x14ac:dyDescent="0.3">
      <c r="B9" s="18">
        <v>1</v>
      </c>
      <c r="C9" s="15">
        <v>280000</v>
      </c>
      <c r="D9" s="15">
        <v>300000</v>
      </c>
      <c r="E9" s="15">
        <v>200000</v>
      </c>
      <c r="F9" s="15">
        <v>350000</v>
      </c>
      <c r="G9" s="15">
        <v>200000</v>
      </c>
      <c r="I9" s="18">
        <v>2</v>
      </c>
      <c r="J9" s="22" t="str">
        <f>E22</f>
        <v>PROYECTO 3</v>
      </c>
      <c r="K9" s="65">
        <f>E23</f>
        <v>0.19857709787320132</v>
      </c>
    </row>
    <row r="10" spans="2:11" x14ac:dyDescent="0.3">
      <c r="B10" s="18">
        <v>2</v>
      </c>
      <c r="C10" s="15">
        <v>303000</v>
      </c>
      <c r="D10" s="15">
        <v>322000</v>
      </c>
      <c r="E10" s="15">
        <v>200000</v>
      </c>
      <c r="F10" s="15">
        <v>300000</v>
      </c>
      <c r="G10" s="15">
        <v>250000</v>
      </c>
      <c r="I10" s="18">
        <v>3</v>
      </c>
      <c r="J10" s="22" t="str">
        <f>C22</f>
        <v>PROYECTO 1</v>
      </c>
      <c r="K10" s="65">
        <f>C23</f>
        <v>0.19473808422098338</v>
      </c>
    </row>
    <row r="11" spans="2:11" x14ac:dyDescent="0.3">
      <c r="B11" s="18">
        <v>3</v>
      </c>
      <c r="C11" s="15">
        <v>326000</v>
      </c>
      <c r="D11" s="15">
        <v>344000</v>
      </c>
      <c r="E11" s="15">
        <v>200000</v>
      </c>
      <c r="F11" s="15"/>
      <c r="G11" s="15">
        <v>300000</v>
      </c>
      <c r="I11" s="18">
        <v>4</v>
      </c>
      <c r="J11" s="22" t="str">
        <f>G22</f>
        <v>PROYECTO 5</v>
      </c>
      <c r="K11" s="65">
        <f>G23</f>
        <v>0.17432326005712007</v>
      </c>
    </row>
    <row r="12" spans="2:11" x14ac:dyDescent="0.3">
      <c r="B12" s="18">
        <v>4</v>
      </c>
      <c r="C12" s="15">
        <v>349000</v>
      </c>
      <c r="D12" s="15">
        <v>366000</v>
      </c>
      <c r="E12" s="15">
        <v>200000</v>
      </c>
      <c r="F12" s="15"/>
      <c r="G12" s="15">
        <v>350000</v>
      </c>
      <c r="I12" s="18">
        <v>5</v>
      </c>
      <c r="J12" s="22" t="str">
        <f>D22</f>
        <v>PROYECTO 2</v>
      </c>
      <c r="K12" s="65">
        <f>D23</f>
        <v>0.14738085161917169</v>
      </c>
    </row>
    <row r="13" spans="2:11" x14ac:dyDescent="0.3">
      <c r="B13" s="18">
        <v>5</v>
      </c>
      <c r="C13" s="15">
        <v>372000</v>
      </c>
      <c r="D13" s="15">
        <v>388000</v>
      </c>
      <c r="E13" s="15">
        <v>200000</v>
      </c>
      <c r="F13" s="15"/>
      <c r="G13" s="15">
        <v>400000</v>
      </c>
    </row>
    <row r="14" spans="2:11" x14ac:dyDescent="0.3">
      <c r="B14" s="18">
        <v>6</v>
      </c>
      <c r="C14" s="15">
        <v>395000</v>
      </c>
      <c r="D14" s="15">
        <v>410000</v>
      </c>
      <c r="E14" s="15"/>
      <c r="F14" s="15"/>
      <c r="G14" s="15"/>
    </row>
    <row r="15" spans="2:11" x14ac:dyDescent="0.3">
      <c r="B15" s="18">
        <v>7</v>
      </c>
      <c r="C15" s="15">
        <v>418000</v>
      </c>
      <c r="D15" s="15">
        <v>432000</v>
      </c>
      <c r="E15" s="15"/>
      <c r="F15" s="15"/>
      <c r="G15" s="15"/>
    </row>
    <row r="16" spans="2:11" x14ac:dyDescent="0.3">
      <c r="B16" s="18">
        <v>8</v>
      </c>
      <c r="C16" s="15">
        <v>441000</v>
      </c>
      <c r="D16" s="15">
        <v>454000</v>
      </c>
      <c r="E16" s="15"/>
      <c r="F16" s="15"/>
      <c r="G16" s="15"/>
    </row>
    <row r="17" spans="2:7" x14ac:dyDescent="0.3">
      <c r="B17" s="18">
        <v>9</v>
      </c>
      <c r="C17" s="15">
        <v>464000</v>
      </c>
      <c r="D17" s="15">
        <v>476000</v>
      </c>
      <c r="E17" s="15"/>
      <c r="F17" s="15"/>
      <c r="G17" s="15"/>
    </row>
    <row r="18" spans="2:7" x14ac:dyDescent="0.3">
      <c r="B18" s="18">
        <v>10</v>
      </c>
      <c r="C18" s="15">
        <v>487000</v>
      </c>
      <c r="D18" s="15">
        <v>498000</v>
      </c>
      <c r="E18" s="15"/>
      <c r="F18" s="15"/>
      <c r="G18" s="15"/>
    </row>
    <row r="20" spans="2:7" x14ac:dyDescent="0.3">
      <c r="B20" s="3" t="str">
        <f>Ej_Amber_A!B26</f>
        <v>b.- TIR para cada proyecto.</v>
      </c>
    </row>
    <row r="22" spans="2:7" x14ac:dyDescent="0.3">
      <c r="B22" s="42"/>
      <c r="C22" s="69" t="s">
        <v>2</v>
      </c>
      <c r="D22" s="69" t="s">
        <v>3</v>
      </c>
      <c r="E22" s="69" t="s">
        <v>4</v>
      </c>
      <c r="F22" s="69" t="s">
        <v>5</v>
      </c>
      <c r="G22" s="69" t="s">
        <v>6</v>
      </c>
    </row>
    <row r="23" spans="2:7" x14ac:dyDescent="0.3">
      <c r="B23" s="71" t="s">
        <v>8</v>
      </c>
      <c r="C23" s="65">
        <f>IRR(C8:C18)</f>
        <v>0.19473808422098338</v>
      </c>
      <c r="D23" s="65">
        <f>IRR(D8:D18)</f>
        <v>0.14738085161917169</v>
      </c>
      <c r="E23" s="65">
        <f>IRR(E8:E18)</f>
        <v>0.19857709787320132</v>
      </c>
      <c r="F23" s="20">
        <f>IRR(F8:F18)</f>
        <v>0.20000000000000018</v>
      </c>
      <c r="G23" s="65">
        <f>IRR(G8:G18)</f>
        <v>0.17432326005712007</v>
      </c>
    </row>
    <row r="24" spans="2:7" x14ac:dyDescent="0.3">
      <c r="C24" s="36">
        <v>3</v>
      </c>
      <c r="D24" s="36">
        <v>5</v>
      </c>
      <c r="E24" s="36">
        <v>2</v>
      </c>
      <c r="F24" s="36">
        <v>1</v>
      </c>
      <c r="G24" s="36">
        <v>4</v>
      </c>
    </row>
  </sheetData>
  <mergeCells count="4">
    <mergeCell ref="B1:K1"/>
    <mergeCell ref="B3:K3"/>
    <mergeCell ref="B5:E5"/>
    <mergeCell ref="I5:K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Y28"/>
  <sheetViews>
    <sheetView showGridLines="0" showRowColHeaders="0" zoomScale="130" zoomScaleNormal="130" workbookViewId="0">
      <selection activeCell="B7" sqref="B7"/>
    </sheetView>
  </sheetViews>
  <sheetFormatPr baseColWidth="10" defaultRowHeight="16.5" x14ac:dyDescent="0.3"/>
  <cols>
    <col min="1" max="1" width="22" customWidth="1"/>
    <col min="2" max="2" width="9" customWidth="1"/>
    <col min="3" max="4" width="15.25" customWidth="1"/>
    <col min="5" max="5" width="14.875" customWidth="1"/>
    <col min="6" max="6" width="14.375" customWidth="1"/>
    <col min="7" max="7" width="13.75" customWidth="1"/>
    <col min="8" max="8" width="28" customWidth="1"/>
    <col min="10" max="10" width="13.625" customWidth="1"/>
    <col min="11" max="11" width="13.75" customWidth="1"/>
    <col min="12" max="12" width="14.25" customWidth="1"/>
    <col min="13" max="13" width="13.875" customWidth="1"/>
    <col min="16" max="16" width="14.375" customWidth="1"/>
    <col min="17" max="17" width="13.5" customWidth="1"/>
    <col min="18" max="18" width="13.625" customWidth="1"/>
    <col min="21" max="21" width="11" customWidth="1"/>
    <col min="22" max="22" width="13" customWidth="1"/>
    <col min="25" max="25" width="13.875" customWidth="1"/>
  </cols>
  <sheetData>
    <row r="1" spans="2:25" ht="18.75" x14ac:dyDescent="0.3">
      <c r="B1" s="100" t="s">
        <v>95</v>
      </c>
      <c r="C1" s="100"/>
      <c r="D1" s="100"/>
      <c r="E1" s="100"/>
      <c r="F1" s="100"/>
      <c r="G1" s="100"/>
      <c r="H1" s="85"/>
      <c r="I1" s="85"/>
      <c r="J1" s="85"/>
      <c r="K1" s="85"/>
      <c r="L1" s="85"/>
    </row>
    <row r="3" spans="2:25" x14ac:dyDescent="0.3">
      <c r="B3" s="99" t="str">
        <f>Presentacion!F16</f>
        <v>Análisis Incremental.</v>
      </c>
      <c r="C3" s="99"/>
      <c r="D3" s="99"/>
      <c r="E3" s="99"/>
      <c r="F3" s="99"/>
      <c r="G3" s="99"/>
      <c r="H3" s="86"/>
      <c r="I3" s="86"/>
      <c r="J3" s="86"/>
      <c r="K3" s="86"/>
      <c r="L3" s="86"/>
    </row>
    <row r="5" spans="2:25" ht="16.5" customHeight="1" x14ac:dyDescent="0.3">
      <c r="B5" s="95" t="s">
        <v>0</v>
      </c>
      <c r="C5" s="95"/>
      <c r="D5" s="95"/>
      <c r="E5" s="95"/>
      <c r="F5" s="101">
        <v>0.19</v>
      </c>
      <c r="G5" s="101"/>
      <c r="H5" s="78"/>
      <c r="J5" s="102" t="s">
        <v>23</v>
      </c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</row>
    <row r="7" spans="2:25" x14ac:dyDescent="0.3">
      <c r="B7" s="80" t="s">
        <v>1</v>
      </c>
      <c r="C7" s="80" t="s">
        <v>2</v>
      </c>
      <c r="D7" s="80" t="s">
        <v>3</v>
      </c>
      <c r="E7" s="80" t="s">
        <v>4</v>
      </c>
      <c r="F7" s="80" t="s">
        <v>5</v>
      </c>
      <c r="G7" s="80" t="s">
        <v>6</v>
      </c>
      <c r="I7" s="77"/>
      <c r="J7" s="80" t="s">
        <v>19</v>
      </c>
      <c r="K7" s="80" t="s">
        <v>20</v>
      </c>
      <c r="L7" s="80" t="s">
        <v>21</v>
      </c>
      <c r="M7" s="80" t="s">
        <v>22</v>
      </c>
      <c r="P7" s="80" t="s">
        <v>24</v>
      </c>
      <c r="Q7" s="80" t="s">
        <v>25</v>
      </c>
      <c r="R7" s="80" t="s">
        <v>26</v>
      </c>
      <c r="U7" s="80" t="s">
        <v>27</v>
      </c>
      <c r="V7" s="80" t="s">
        <v>28</v>
      </c>
      <c r="Y7" s="80" t="s">
        <v>29</v>
      </c>
    </row>
    <row r="8" spans="2:25" x14ac:dyDescent="0.3">
      <c r="B8" s="18">
        <v>0</v>
      </c>
      <c r="C8" s="15">
        <f>Ej_Amber_A!C97</f>
        <v>-1500000</v>
      </c>
      <c r="D8" s="15">
        <f>Ej_Amber_A!D97</f>
        <v>-1900000</v>
      </c>
      <c r="E8" s="15">
        <f>Ej_Amber_A!E97</f>
        <v>-600000</v>
      </c>
      <c r="F8" s="15">
        <f>Ej_Amber_A!F97</f>
        <v>-500000</v>
      </c>
      <c r="G8" s="15">
        <f>Ej_Amber_A!G97</f>
        <v>-900000</v>
      </c>
      <c r="J8" s="28">
        <f t="shared" ref="J8:J18" si="0">C8-D8</f>
        <v>400000</v>
      </c>
      <c r="K8" s="28">
        <f t="shared" ref="K8:K18" si="1">C8-E8</f>
        <v>-900000</v>
      </c>
      <c r="L8" s="28">
        <f t="shared" ref="L8:L18" si="2">C8-F8</f>
        <v>-1000000</v>
      </c>
      <c r="M8" s="28">
        <f t="shared" ref="M8:M18" si="3">C8-G8</f>
        <v>-600000</v>
      </c>
      <c r="P8" s="28">
        <f t="shared" ref="P8:P18" si="4">D8-E8</f>
        <v>-1300000</v>
      </c>
      <c r="Q8" s="28">
        <f t="shared" ref="Q8:Q18" si="5">D8-F8</f>
        <v>-1400000</v>
      </c>
      <c r="R8" s="28">
        <f t="shared" ref="R8:R18" si="6">D8-G8</f>
        <v>-1000000</v>
      </c>
      <c r="U8" s="28">
        <f t="shared" ref="U8:U18" si="7">E8-F8</f>
        <v>-100000</v>
      </c>
      <c r="V8" s="28">
        <f t="shared" ref="V8:V18" si="8">E8-G8</f>
        <v>300000</v>
      </c>
      <c r="Y8" s="28">
        <f t="shared" ref="Y8:Y18" si="9">F8-G8</f>
        <v>400000</v>
      </c>
    </row>
    <row r="9" spans="2:25" x14ac:dyDescent="0.3">
      <c r="B9" s="18">
        <v>1</v>
      </c>
      <c r="C9" s="15">
        <f>Ej_Amber_A!C98</f>
        <v>280000</v>
      </c>
      <c r="D9" s="15">
        <f>Ej_Amber_A!D98</f>
        <v>300000</v>
      </c>
      <c r="E9" s="15">
        <f>Ej_Amber_A!E98</f>
        <v>200000</v>
      </c>
      <c r="F9" s="15">
        <f>Ej_Amber_A!F98</f>
        <v>350000</v>
      </c>
      <c r="G9" s="15">
        <f>Ej_Amber_A!G98</f>
        <v>200000</v>
      </c>
      <c r="J9" s="28">
        <f t="shared" si="0"/>
        <v>-20000</v>
      </c>
      <c r="K9" s="28">
        <f t="shared" si="1"/>
        <v>80000</v>
      </c>
      <c r="L9" s="28">
        <f t="shared" si="2"/>
        <v>-70000</v>
      </c>
      <c r="M9" s="28">
        <f t="shared" si="3"/>
        <v>80000</v>
      </c>
      <c r="P9" s="28">
        <f t="shared" si="4"/>
        <v>100000</v>
      </c>
      <c r="Q9" s="28">
        <f t="shared" si="5"/>
        <v>-50000</v>
      </c>
      <c r="R9" s="28">
        <f t="shared" si="6"/>
        <v>100000</v>
      </c>
      <c r="U9" s="28">
        <f t="shared" si="7"/>
        <v>-150000</v>
      </c>
      <c r="V9" s="28">
        <f t="shared" si="8"/>
        <v>0</v>
      </c>
      <c r="Y9" s="28">
        <f t="shared" si="9"/>
        <v>150000</v>
      </c>
    </row>
    <row r="10" spans="2:25" x14ac:dyDescent="0.3">
      <c r="B10" s="18">
        <v>2</v>
      </c>
      <c r="C10" s="15">
        <f>Ej_Amber_A!C99</f>
        <v>303000</v>
      </c>
      <c r="D10" s="15">
        <f>Ej_Amber_A!D99</f>
        <v>322000</v>
      </c>
      <c r="E10" s="15">
        <f>Ej_Amber_A!E99</f>
        <v>200000</v>
      </c>
      <c r="F10" s="15">
        <f>Ej_Amber_A!F99</f>
        <v>-200000</v>
      </c>
      <c r="G10" s="15">
        <f>Ej_Amber_A!G99</f>
        <v>250000</v>
      </c>
      <c r="J10" s="28">
        <f t="shared" si="0"/>
        <v>-19000</v>
      </c>
      <c r="K10" s="28">
        <f t="shared" si="1"/>
        <v>103000</v>
      </c>
      <c r="L10" s="28">
        <f t="shared" si="2"/>
        <v>503000</v>
      </c>
      <c r="M10" s="28">
        <f t="shared" si="3"/>
        <v>53000</v>
      </c>
      <c r="P10" s="28">
        <f t="shared" si="4"/>
        <v>122000</v>
      </c>
      <c r="Q10" s="28">
        <f t="shared" si="5"/>
        <v>522000</v>
      </c>
      <c r="R10" s="28">
        <f t="shared" si="6"/>
        <v>72000</v>
      </c>
      <c r="U10" s="28">
        <f t="shared" si="7"/>
        <v>400000</v>
      </c>
      <c r="V10" s="28">
        <f t="shared" si="8"/>
        <v>-50000</v>
      </c>
      <c r="Y10" s="28">
        <f t="shared" si="9"/>
        <v>-450000</v>
      </c>
    </row>
    <row r="11" spans="2:25" x14ac:dyDescent="0.3">
      <c r="B11" s="18">
        <v>3</v>
      </c>
      <c r="C11" s="15">
        <f>Ej_Amber_A!C100</f>
        <v>326000</v>
      </c>
      <c r="D11" s="15">
        <f>Ej_Amber_A!D100</f>
        <v>344000</v>
      </c>
      <c r="E11" s="15">
        <f>Ej_Amber_A!E100</f>
        <v>200000</v>
      </c>
      <c r="F11" s="15">
        <f>Ej_Amber_A!F100</f>
        <v>350000</v>
      </c>
      <c r="G11" s="15">
        <f>Ej_Amber_A!G100</f>
        <v>300000</v>
      </c>
      <c r="J11" s="28">
        <f t="shared" si="0"/>
        <v>-18000</v>
      </c>
      <c r="K11" s="28">
        <f t="shared" si="1"/>
        <v>126000</v>
      </c>
      <c r="L11" s="28">
        <f t="shared" si="2"/>
        <v>-24000</v>
      </c>
      <c r="M11" s="28">
        <f t="shared" si="3"/>
        <v>26000</v>
      </c>
      <c r="P11" s="28">
        <f t="shared" si="4"/>
        <v>144000</v>
      </c>
      <c r="Q11" s="28">
        <f t="shared" si="5"/>
        <v>-6000</v>
      </c>
      <c r="R11" s="28">
        <f t="shared" si="6"/>
        <v>44000</v>
      </c>
      <c r="U11" s="28">
        <f t="shared" si="7"/>
        <v>-150000</v>
      </c>
      <c r="V11" s="28">
        <f t="shared" si="8"/>
        <v>-100000</v>
      </c>
      <c r="Y11" s="28">
        <f t="shared" si="9"/>
        <v>50000</v>
      </c>
    </row>
    <row r="12" spans="2:25" x14ac:dyDescent="0.3">
      <c r="B12" s="18">
        <v>4</v>
      </c>
      <c r="C12" s="15">
        <f>Ej_Amber_A!C101</f>
        <v>349000</v>
      </c>
      <c r="D12" s="15">
        <f>Ej_Amber_A!D101</f>
        <v>366000</v>
      </c>
      <c r="E12" s="15">
        <f>Ej_Amber_A!E101</f>
        <v>200000</v>
      </c>
      <c r="F12" s="15">
        <f>Ej_Amber_A!F101</f>
        <v>-200000</v>
      </c>
      <c r="G12" s="15">
        <f>Ej_Amber_A!G101</f>
        <v>350000</v>
      </c>
      <c r="J12" s="28">
        <f t="shared" si="0"/>
        <v>-17000</v>
      </c>
      <c r="K12" s="28">
        <f t="shared" si="1"/>
        <v>149000</v>
      </c>
      <c r="L12" s="28">
        <f t="shared" si="2"/>
        <v>549000</v>
      </c>
      <c r="M12" s="28">
        <f t="shared" si="3"/>
        <v>-1000</v>
      </c>
      <c r="P12" s="28">
        <f t="shared" si="4"/>
        <v>166000</v>
      </c>
      <c r="Q12" s="28">
        <f t="shared" si="5"/>
        <v>566000</v>
      </c>
      <c r="R12" s="28">
        <f t="shared" si="6"/>
        <v>16000</v>
      </c>
      <c r="U12" s="28">
        <f t="shared" si="7"/>
        <v>400000</v>
      </c>
      <c r="V12" s="28">
        <f t="shared" si="8"/>
        <v>-150000</v>
      </c>
      <c r="Y12" s="28">
        <f t="shared" si="9"/>
        <v>-550000</v>
      </c>
    </row>
    <row r="13" spans="2:25" x14ac:dyDescent="0.3">
      <c r="B13" s="18">
        <v>5</v>
      </c>
      <c r="C13" s="15">
        <f>Ej_Amber_A!C102</f>
        <v>372000</v>
      </c>
      <c r="D13" s="15">
        <f>Ej_Amber_A!D102</f>
        <v>388000</v>
      </c>
      <c r="E13" s="15">
        <f>Ej_Amber_A!E102</f>
        <v>-400000</v>
      </c>
      <c r="F13" s="15">
        <f>Ej_Amber_A!F102</f>
        <v>350000</v>
      </c>
      <c r="G13" s="15">
        <f>Ej_Amber_A!G102</f>
        <v>-500000</v>
      </c>
      <c r="J13" s="28">
        <f t="shared" si="0"/>
        <v>-16000</v>
      </c>
      <c r="K13" s="28">
        <f t="shared" si="1"/>
        <v>772000</v>
      </c>
      <c r="L13" s="28">
        <f t="shared" si="2"/>
        <v>22000</v>
      </c>
      <c r="M13" s="28">
        <f t="shared" si="3"/>
        <v>872000</v>
      </c>
      <c r="P13" s="28">
        <f t="shared" si="4"/>
        <v>788000</v>
      </c>
      <c r="Q13" s="28">
        <f t="shared" si="5"/>
        <v>38000</v>
      </c>
      <c r="R13" s="28">
        <f t="shared" si="6"/>
        <v>888000</v>
      </c>
      <c r="U13" s="28">
        <f t="shared" si="7"/>
        <v>-750000</v>
      </c>
      <c r="V13" s="28">
        <f t="shared" si="8"/>
        <v>100000</v>
      </c>
      <c r="Y13" s="28">
        <f t="shared" si="9"/>
        <v>850000</v>
      </c>
    </row>
    <row r="14" spans="2:25" x14ac:dyDescent="0.3">
      <c r="B14" s="18">
        <v>6</v>
      </c>
      <c r="C14" s="15">
        <f>Ej_Amber_A!C103</f>
        <v>395000</v>
      </c>
      <c r="D14" s="15">
        <f>Ej_Amber_A!D103</f>
        <v>410000</v>
      </c>
      <c r="E14" s="15">
        <f>Ej_Amber_A!E103</f>
        <v>200000</v>
      </c>
      <c r="F14" s="15">
        <f>Ej_Amber_A!F103</f>
        <v>-200000</v>
      </c>
      <c r="G14" s="15">
        <f>Ej_Amber_A!G103</f>
        <v>200000</v>
      </c>
      <c r="J14" s="28">
        <f t="shared" si="0"/>
        <v>-15000</v>
      </c>
      <c r="K14" s="28">
        <f t="shared" si="1"/>
        <v>195000</v>
      </c>
      <c r="L14" s="28">
        <f t="shared" si="2"/>
        <v>595000</v>
      </c>
      <c r="M14" s="28">
        <f t="shared" si="3"/>
        <v>195000</v>
      </c>
      <c r="P14" s="28">
        <f t="shared" si="4"/>
        <v>210000</v>
      </c>
      <c r="Q14" s="28">
        <f t="shared" si="5"/>
        <v>610000</v>
      </c>
      <c r="R14" s="28">
        <f t="shared" si="6"/>
        <v>210000</v>
      </c>
      <c r="U14" s="28">
        <f t="shared" si="7"/>
        <v>400000</v>
      </c>
      <c r="V14" s="28">
        <f t="shared" si="8"/>
        <v>0</v>
      </c>
      <c r="Y14" s="28">
        <f t="shared" si="9"/>
        <v>-400000</v>
      </c>
    </row>
    <row r="15" spans="2:25" x14ac:dyDescent="0.3">
      <c r="B15" s="18">
        <v>7</v>
      </c>
      <c r="C15" s="15">
        <f>Ej_Amber_A!C104</f>
        <v>418000</v>
      </c>
      <c r="D15" s="15">
        <f>Ej_Amber_A!D104</f>
        <v>432000</v>
      </c>
      <c r="E15" s="15">
        <f>Ej_Amber_A!E104</f>
        <v>200000</v>
      </c>
      <c r="F15" s="15">
        <f>Ej_Amber_A!F104</f>
        <v>350000</v>
      </c>
      <c r="G15" s="15">
        <f>Ej_Amber_A!G104</f>
        <v>250000</v>
      </c>
      <c r="J15" s="28">
        <f t="shared" si="0"/>
        <v>-14000</v>
      </c>
      <c r="K15" s="28">
        <f t="shared" si="1"/>
        <v>218000</v>
      </c>
      <c r="L15" s="28">
        <f t="shared" si="2"/>
        <v>68000</v>
      </c>
      <c r="M15" s="28">
        <f t="shared" si="3"/>
        <v>168000</v>
      </c>
      <c r="P15" s="28">
        <f t="shared" si="4"/>
        <v>232000</v>
      </c>
      <c r="Q15" s="28">
        <f t="shared" si="5"/>
        <v>82000</v>
      </c>
      <c r="R15" s="28">
        <f t="shared" si="6"/>
        <v>182000</v>
      </c>
      <c r="U15" s="28">
        <f t="shared" si="7"/>
        <v>-150000</v>
      </c>
      <c r="V15" s="28">
        <f t="shared" si="8"/>
        <v>-50000</v>
      </c>
      <c r="Y15" s="28">
        <f t="shared" si="9"/>
        <v>100000</v>
      </c>
    </row>
    <row r="16" spans="2:25" x14ac:dyDescent="0.3">
      <c r="B16" s="18">
        <v>8</v>
      </c>
      <c r="C16" s="15">
        <f>Ej_Amber_A!C105</f>
        <v>441000</v>
      </c>
      <c r="D16" s="15">
        <f>Ej_Amber_A!D105</f>
        <v>454000</v>
      </c>
      <c r="E16" s="15">
        <f>Ej_Amber_A!E105</f>
        <v>200000</v>
      </c>
      <c r="F16" s="15">
        <f>Ej_Amber_A!F105</f>
        <v>-200000</v>
      </c>
      <c r="G16" s="15">
        <f>Ej_Amber_A!G105</f>
        <v>300000</v>
      </c>
      <c r="J16" s="28">
        <f t="shared" si="0"/>
        <v>-13000</v>
      </c>
      <c r="K16" s="28">
        <f t="shared" si="1"/>
        <v>241000</v>
      </c>
      <c r="L16" s="28">
        <f t="shared" si="2"/>
        <v>641000</v>
      </c>
      <c r="M16" s="28">
        <f t="shared" si="3"/>
        <v>141000</v>
      </c>
      <c r="P16" s="28">
        <f t="shared" si="4"/>
        <v>254000</v>
      </c>
      <c r="Q16" s="28">
        <f t="shared" si="5"/>
        <v>654000</v>
      </c>
      <c r="R16" s="28">
        <f t="shared" si="6"/>
        <v>154000</v>
      </c>
      <c r="U16" s="28">
        <f t="shared" si="7"/>
        <v>400000</v>
      </c>
      <c r="V16" s="28">
        <f t="shared" si="8"/>
        <v>-100000</v>
      </c>
      <c r="Y16" s="28">
        <f t="shared" si="9"/>
        <v>-500000</v>
      </c>
    </row>
    <row r="17" spans="2:25" x14ac:dyDescent="0.3">
      <c r="B17" s="18">
        <v>9</v>
      </c>
      <c r="C17" s="15">
        <f>Ej_Amber_A!C106</f>
        <v>464000</v>
      </c>
      <c r="D17" s="15">
        <f>Ej_Amber_A!D106</f>
        <v>476000</v>
      </c>
      <c r="E17" s="15">
        <f>Ej_Amber_A!E106</f>
        <v>200000</v>
      </c>
      <c r="F17" s="15">
        <f>Ej_Amber_A!F106</f>
        <v>350000</v>
      </c>
      <c r="G17" s="15">
        <f>Ej_Amber_A!G106</f>
        <v>350000</v>
      </c>
      <c r="J17" s="28">
        <f t="shared" si="0"/>
        <v>-12000</v>
      </c>
      <c r="K17" s="28">
        <f t="shared" si="1"/>
        <v>264000</v>
      </c>
      <c r="L17" s="28">
        <f t="shared" si="2"/>
        <v>114000</v>
      </c>
      <c r="M17" s="28">
        <f t="shared" si="3"/>
        <v>114000</v>
      </c>
      <c r="P17" s="28">
        <f t="shared" si="4"/>
        <v>276000</v>
      </c>
      <c r="Q17" s="28">
        <f t="shared" si="5"/>
        <v>126000</v>
      </c>
      <c r="R17" s="28">
        <f t="shared" si="6"/>
        <v>126000</v>
      </c>
      <c r="U17" s="28">
        <f t="shared" si="7"/>
        <v>-150000</v>
      </c>
      <c r="V17" s="28">
        <f t="shared" si="8"/>
        <v>-150000</v>
      </c>
      <c r="Y17" s="28">
        <f t="shared" si="9"/>
        <v>0</v>
      </c>
    </row>
    <row r="18" spans="2:25" x14ac:dyDescent="0.3">
      <c r="B18" s="18">
        <v>10</v>
      </c>
      <c r="C18" s="15">
        <f>Ej_Amber_A!C107</f>
        <v>487000</v>
      </c>
      <c r="D18" s="15">
        <f>Ej_Amber_A!D107</f>
        <v>498000</v>
      </c>
      <c r="E18" s="15">
        <f>Ej_Amber_A!E107</f>
        <v>200000</v>
      </c>
      <c r="F18" s="15">
        <f>Ej_Amber_A!F107</f>
        <v>300000</v>
      </c>
      <c r="G18" s="15">
        <f>Ej_Amber_A!G107</f>
        <v>400000</v>
      </c>
      <c r="J18" s="28">
        <f t="shared" si="0"/>
        <v>-11000</v>
      </c>
      <c r="K18" s="28">
        <f t="shared" si="1"/>
        <v>287000</v>
      </c>
      <c r="L18" s="28">
        <f t="shared" si="2"/>
        <v>187000</v>
      </c>
      <c r="M18" s="28">
        <f t="shared" si="3"/>
        <v>87000</v>
      </c>
      <c r="P18" s="28">
        <f t="shared" si="4"/>
        <v>298000</v>
      </c>
      <c r="Q18" s="28">
        <f t="shared" si="5"/>
        <v>198000</v>
      </c>
      <c r="R18" s="28">
        <f t="shared" si="6"/>
        <v>98000</v>
      </c>
      <c r="U18" s="28">
        <f t="shared" si="7"/>
        <v>-100000</v>
      </c>
      <c r="V18" s="28">
        <f t="shared" si="8"/>
        <v>-200000</v>
      </c>
      <c r="Y18" s="28">
        <f t="shared" si="9"/>
        <v>-100000</v>
      </c>
    </row>
    <row r="19" spans="2:25" x14ac:dyDescent="0.3">
      <c r="B19" s="11"/>
      <c r="C19" s="12"/>
      <c r="D19" s="12"/>
      <c r="E19" s="12"/>
      <c r="F19" s="12"/>
      <c r="G19" s="12"/>
    </row>
    <row r="20" spans="2:25" x14ac:dyDescent="0.3">
      <c r="B20" s="11"/>
      <c r="C20" s="80" t="s">
        <v>2</v>
      </c>
      <c r="D20" s="80" t="s">
        <v>3</v>
      </c>
      <c r="E20" s="80" t="s">
        <v>4</v>
      </c>
      <c r="F20" s="80" t="s">
        <v>5</v>
      </c>
      <c r="G20" s="80" t="s">
        <v>6</v>
      </c>
      <c r="J20" s="80" t="s">
        <v>19</v>
      </c>
      <c r="K20" s="80" t="s">
        <v>20</v>
      </c>
      <c r="L20" s="80" t="s">
        <v>21</v>
      </c>
      <c r="M20" s="80" t="s">
        <v>22</v>
      </c>
      <c r="P20" s="80" t="s">
        <v>24</v>
      </c>
      <c r="Q20" s="80" t="s">
        <v>25</v>
      </c>
      <c r="R20" s="80" t="s">
        <v>26</v>
      </c>
      <c r="U20" s="80" t="s">
        <v>27</v>
      </c>
      <c r="V20" s="80" t="s">
        <v>28</v>
      </c>
      <c r="Y20" s="80" t="s">
        <v>29</v>
      </c>
    </row>
    <row r="21" spans="2:25" x14ac:dyDescent="0.3">
      <c r="B21" s="79" t="s">
        <v>7</v>
      </c>
      <c r="C21" s="15">
        <f>NPV($F$5,C9:C18)+C8</f>
        <v>27569.95025504427</v>
      </c>
      <c r="D21" s="15">
        <f t="shared" ref="D21:G21" si="10">NPV($F$5,D9:D18)+D8</f>
        <v>-299245.62142777839</v>
      </c>
      <c r="E21" s="15">
        <f t="shared" si="10"/>
        <v>16357.350833320175</v>
      </c>
      <c r="F21" s="15">
        <f t="shared" si="10"/>
        <v>16741.552340552094</v>
      </c>
      <c r="G21" s="15">
        <f t="shared" si="10"/>
        <v>-49969.003625922487</v>
      </c>
      <c r="I21" s="79" t="s">
        <v>7</v>
      </c>
      <c r="J21" s="15">
        <f>NPV($F$5,J9:J18)+J8</f>
        <v>326815.57168282283</v>
      </c>
      <c r="K21" s="15">
        <f t="shared" ref="K21:M21" si="11">NPV($F$5,K9:K18)+K8</f>
        <v>11212.599421724444</v>
      </c>
      <c r="L21" s="15">
        <f t="shared" si="11"/>
        <v>10828.397914492409</v>
      </c>
      <c r="M21" s="15">
        <f t="shared" si="11"/>
        <v>77538.953880966874</v>
      </c>
      <c r="O21" s="79" t="s">
        <v>7</v>
      </c>
      <c r="P21" s="15">
        <f>NPV($F$5,P9:P18)+P8</f>
        <v>-315602.97226109856</v>
      </c>
      <c r="Q21" s="15">
        <f t="shared" ref="Q21:R21" si="12">NPV($F$5,Q9:Q18)+Q8</f>
        <v>-315987.17376833037</v>
      </c>
      <c r="R21" s="15">
        <f t="shared" si="12"/>
        <v>-249276.61780185613</v>
      </c>
      <c r="T21" s="79" t="s">
        <v>7</v>
      </c>
      <c r="U21" s="15">
        <f>NPV($F$5,U9:U18)+U8</f>
        <v>-384.20150723190454</v>
      </c>
      <c r="V21" s="15">
        <f>NPV($F$5,V9:V18)+V8</f>
        <v>66326.35445924243</v>
      </c>
      <c r="X21" s="79" t="s">
        <v>7</v>
      </c>
      <c r="Y21" s="15">
        <f>NPV(F5,Y9:Y18)+Y8</f>
        <v>66710.555966474407</v>
      </c>
    </row>
    <row r="22" spans="2:25" x14ac:dyDescent="0.3">
      <c r="B22" s="79" t="s">
        <v>8</v>
      </c>
      <c r="C22" s="65">
        <f>IRR(C8:C18)</f>
        <v>0.19473808422098338</v>
      </c>
      <c r="D22" s="65">
        <f t="shared" ref="D22:G22" si="13">IRR(D8:D18)</f>
        <v>0.14738085161917169</v>
      </c>
      <c r="E22" s="65">
        <f t="shared" si="13"/>
        <v>0.198577097873192</v>
      </c>
      <c r="F22" s="20">
        <f t="shared" si="13"/>
        <v>0.19999999999999973</v>
      </c>
      <c r="G22" s="16">
        <f t="shared" si="13"/>
        <v>0.17432326005713539</v>
      </c>
      <c r="I22" s="79" t="s">
        <v>8</v>
      </c>
      <c r="J22" s="16">
        <f>IRR(J8:J18)</f>
        <v>-0.15458903100813393</v>
      </c>
      <c r="K22" s="16">
        <f>IRR(K8:K18)</f>
        <v>0.1928666204954641</v>
      </c>
      <c r="L22" s="16">
        <f>IRR(L8:L18)</f>
        <v>0.19261478600219295</v>
      </c>
      <c r="M22" s="16">
        <f>IRR(M8:M18)</f>
        <v>0.21928863993431547</v>
      </c>
      <c r="O22" s="79" t="s">
        <v>8</v>
      </c>
      <c r="P22" s="16">
        <f>IRR(P8:P18)</f>
        <v>0.12804985170558858</v>
      </c>
      <c r="Q22" s="16">
        <f>IRR(Q8:Q18)</f>
        <v>0.13036058324894739</v>
      </c>
      <c r="R22" s="16">
        <f>IRR(R8:R18)</f>
        <v>0.12427776761849363</v>
      </c>
      <c r="T22" s="79" t="s">
        <v>8</v>
      </c>
      <c r="U22" s="16">
        <f>IRR(U8:U18)</f>
        <v>0.18831474319583719</v>
      </c>
      <c r="V22" s="16">
        <f t="shared" ref="V22" si="14">IRR(V8:V18)</f>
        <v>0.13867662593823193</v>
      </c>
      <c r="X22" s="79" t="s">
        <v>8</v>
      </c>
      <c r="Y22" s="16">
        <f>IRR(Y8:Y18)</f>
        <v>0.14548441281826041</v>
      </c>
    </row>
    <row r="24" spans="2:25" x14ac:dyDescent="0.3">
      <c r="B24" s="103" t="s">
        <v>67</v>
      </c>
      <c r="C24" s="103"/>
      <c r="D24" s="103"/>
      <c r="E24" s="103"/>
      <c r="F24" s="103"/>
      <c r="G24" s="103"/>
    </row>
    <row r="25" spans="2:25" ht="16.5" customHeight="1" x14ac:dyDescent="0.3">
      <c r="B25" s="104" t="s">
        <v>96</v>
      </c>
      <c r="C25" s="104"/>
      <c r="D25" s="104"/>
      <c r="E25" s="104"/>
      <c r="F25" s="104"/>
      <c r="G25" s="104"/>
    </row>
    <row r="26" spans="2:25" x14ac:dyDescent="0.3">
      <c r="B26" s="104"/>
      <c r="C26" s="104"/>
      <c r="D26" s="104"/>
      <c r="E26" s="104"/>
      <c r="F26" s="104"/>
      <c r="G26" s="104"/>
    </row>
    <row r="27" spans="2:25" x14ac:dyDescent="0.3">
      <c r="B27" s="104"/>
      <c r="C27" s="104"/>
      <c r="D27" s="104"/>
      <c r="E27" s="104"/>
      <c r="F27" s="104"/>
      <c r="G27" s="104"/>
    </row>
    <row r="28" spans="2:25" x14ac:dyDescent="0.3">
      <c r="B28" s="104"/>
      <c r="C28" s="104"/>
      <c r="D28" s="104"/>
      <c r="E28" s="104"/>
      <c r="F28" s="104"/>
      <c r="G28" s="104"/>
    </row>
  </sheetData>
  <mergeCells count="7">
    <mergeCell ref="B24:G24"/>
    <mergeCell ref="B25:G28"/>
    <mergeCell ref="B1:G1"/>
    <mergeCell ref="B3:G3"/>
    <mergeCell ref="B5:E5"/>
    <mergeCell ref="F5:G5"/>
    <mergeCell ref="J5:Y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M87"/>
  <sheetViews>
    <sheetView showGridLines="0" showRowColHeaders="0" workbookViewId="0">
      <selection activeCell="B5" sqref="B5"/>
    </sheetView>
  </sheetViews>
  <sheetFormatPr baseColWidth="10" defaultRowHeight="16.5" x14ac:dyDescent="0.3"/>
  <cols>
    <col min="1" max="1" width="2.375" customWidth="1"/>
    <col min="2" max="2" width="12.75" customWidth="1"/>
    <col min="3" max="3" width="15.75" customWidth="1"/>
    <col min="4" max="4" width="14" customWidth="1"/>
    <col min="5" max="6" width="13.875" customWidth="1"/>
    <col min="7" max="7" width="14" customWidth="1"/>
    <col min="8" max="8" width="15.75" customWidth="1"/>
    <col min="9" max="9" width="12.75" customWidth="1"/>
    <col min="10" max="10" width="12.625" customWidth="1"/>
    <col min="11" max="11" width="13" customWidth="1"/>
    <col min="12" max="12" width="12.625" customWidth="1"/>
    <col min="13" max="13" width="12.875" customWidth="1"/>
  </cols>
  <sheetData>
    <row r="1" spans="2:13" ht="18.75" x14ac:dyDescent="0.3">
      <c r="B1" s="100" t="s">
        <v>95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</row>
    <row r="3" spans="2:13" x14ac:dyDescent="0.3">
      <c r="B3" s="99" t="str">
        <f>Presentacion!F18</f>
        <v>Comparacion de proyectos llevandolos a la misma vida util.</v>
      </c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</row>
    <row r="4" spans="2:13" x14ac:dyDescent="0.3">
      <c r="B4" s="76"/>
      <c r="C4" s="76"/>
      <c r="D4" s="76"/>
      <c r="E4" s="76"/>
      <c r="F4" s="76"/>
      <c r="G4" s="76"/>
      <c r="H4" s="76"/>
      <c r="I4" s="76"/>
      <c r="J4" s="76"/>
      <c r="K4" s="76"/>
    </row>
    <row r="5" spans="2:13" x14ac:dyDescent="0.3">
      <c r="B5" s="73" t="s">
        <v>1</v>
      </c>
      <c r="C5" s="73">
        <v>0</v>
      </c>
      <c r="D5" s="73">
        <v>1</v>
      </c>
      <c r="E5" s="73">
        <v>2</v>
      </c>
      <c r="F5" s="73">
        <v>3</v>
      </c>
      <c r="G5" s="73">
        <v>4</v>
      </c>
      <c r="H5" s="73">
        <v>5</v>
      </c>
      <c r="I5" s="73">
        <v>6</v>
      </c>
      <c r="J5" s="73">
        <v>7</v>
      </c>
      <c r="K5" s="73">
        <v>8</v>
      </c>
      <c r="L5" s="73">
        <v>9</v>
      </c>
      <c r="M5" s="73">
        <v>10</v>
      </c>
    </row>
    <row r="6" spans="2:13" x14ac:dyDescent="0.3">
      <c r="B6" s="14" t="s">
        <v>2</v>
      </c>
      <c r="C6" s="15">
        <f>Ej_Amber_A!C34</f>
        <v>-1500000</v>
      </c>
      <c r="D6" s="15">
        <f>Ej_Amber_A!D34</f>
        <v>280000</v>
      </c>
      <c r="E6" s="15">
        <f>Ej_Amber_A!E34</f>
        <v>303000</v>
      </c>
      <c r="F6" s="15">
        <f>Ej_Amber_A!F34</f>
        <v>326000</v>
      </c>
      <c r="G6" s="15">
        <f>Ej_Amber_A!G34</f>
        <v>349000</v>
      </c>
      <c r="H6" s="15">
        <f>Ej_Amber_A!H34</f>
        <v>372000</v>
      </c>
      <c r="I6" s="15">
        <f>Ej_Amber_A!I34</f>
        <v>395000</v>
      </c>
      <c r="J6" s="15">
        <f>Ej_Amber_A!J34</f>
        <v>418000</v>
      </c>
      <c r="K6" s="15">
        <f>Ej_Amber_A!K34</f>
        <v>441000</v>
      </c>
      <c r="L6" s="15">
        <f>Ej_Amber_A!L34</f>
        <v>464000</v>
      </c>
      <c r="M6" s="15">
        <f>Ej_Amber_A!M34</f>
        <v>487000</v>
      </c>
    </row>
    <row r="7" spans="2:13" x14ac:dyDescent="0.3">
      <c r="B7" s="14" t="s">
        <v>3</v>
      </c>
      <c r="C7" s="15">
        <f>Ej_Amber_A!C35</f>
        <v>-1900000</v>
      </c>
      <c r="D7" s="15">
        <f>Ej_Amber_A!D35</f>
        <v>300000</v>
      </c>
      <c r="E7" s="15">
        <f>Ej_Amber_A!E35</f>
        <v>322000</v>
      </c>
      <c r="F7" s="15">
        <f>Ej_Amber_A!F35</f>
        <v>344000</v>
      </c>
      <c r="G7" s="15">
        <f>Ej_Amber_A!G35</f>
        <v>366000</v>
      </c>
      <c r="H7" s="15">
        <f>Ej_Amber_A!H35</f>
        <v>388000</v>
      </c>
      <c r="I7" s="15">
        <f>Ej_Amber_A!I35</f>
        <v>410000</v>
      </c>
      <c r="J7" s="15">
        <f>Ej_Amber_A!J35</f>
        <v>432000</v>
      </c>
      <c r="K7" s="15">
        <f>Ej_Amber_A!K35</f>
        <v>454000</v>
      </c>
      <c r="L7" s="15">
        <f>Ej_Amber_A!L35</f>
        <v>476000</v>
      </c>
      <c r="M7" s="15">
        <f>Ej_Amber_A!M35</f>
        <v>498000</v>
      </c>
    </row>
    <row r="8" spans="2:13" x14ac:dyDescent="0.3">
      <c r="B8" s="14" t="s">
        <v>4</v>
      </c>
      <c r="C8" s="15">
        <f>Ej_Amber_A!C36</f>
        <v>-600000</v>
      </c>
      <c r="D8" s="15">
        <f>Ej_Amber_A!D36</f>
        <v>200000</v>
      </c>
      <c r="E8" s="15">
        <f>Ej_Amber_A!E36</f>
        <v>200000</v>
      </c>
      <c r="F8" s="15">
        <f>Ej_Amber_A!F36</f>
        <v>200000</v>
      </c>
      <c r="G8" s="15">
        <f>Ej_Amber_A!G36</f>
        <v>200000</v>
      </c>
      <c r="H8" s="15">
        <f>Ej_Amber_A!H36</f>
        <v>200000</v>
      </c>
      <c r="I8" s="15"/>
      <c r="J8" s="15"/>
      <c r="K8" s="15"/>
      <c r="L8" s="15"/>
      <c r="M8" s="15"/>
    </row>
    <row r="9" spans="2:13" x14ac:dyDescent="0.3">
      <c r="B9" s="14" t="s">
        <v>5</v>
      </c>
      <c r="C9" s="15">
        <f>Ej_Amber_A!C37</f>
        <v>-500000</v>
      </c>
      <c r="D9" s="15">
        <f>Ej_Amber_A!D37</f>
        <v>350000</v>
      </c>
      <c r="E9" s="15">
        <f>Ej_Amber_A!E37</f>
        <v>300000</v>
      </c>
      <c r="F9" s="15"/>
      <c r="G9" s="15"/>
      <c r="H9" s="15"/>
      <c r="I9" s="15"/>
      <c r="J9" s="15"/>
      <c r="K9" s="15"/>
      <c r="L9" s="15"/>
      <c r="M9" s="15"/>
    </row>
    <row r="10" spans="2:13" x14ac:dyDescent="0.3">
      <c r="B10" s="14" t="s">
        <v>6</v>
      </c>
      <c r="C10" s="15">
        <f>Ej_Amber_A!C38</f>
        <v>-900000</v>
      </c>
      <c r="D10" s="15">
        <f>Ej_Amber_A!D38</f>
        <v>200000</v>
      </c>
      <c r="E10" s="15">
        <f>Ej_Amber_A!E38</f>
        <v>250000</v>
      </c>
      <c r="F10" s="15">
        <f>Ej_Amber_A!F38</f>
        <v>300000</v>
      </c>
      <c r="G10" s="15">
        <f>Ej_Amber_A!G38</f>
        <v>350000</v>
      </c>
      <c r="H10" s="15">
        <f>Ej_Amber_A!H38</f>
        <v>400000</v>
      </c>
      <c r="I10" s="15"/>
      <c r="J10" s="15"/>
      <c r="K10" s="15"/>
      <c r="L10" s="15"/>
      <c r="M10" s="15"/>
    </row>
    <row r="12" spans="2:13" x14ac:dyDescent="0.3">
      <c r="B12" s="3" t="s">
        <v>69</v>
      </c>
      <c r="C12" s="45"/>
      <c r="D12" s="45"/>
      <c r="E12" s="45"/>
      <c r="H12" s="12"/>
      <c r="I12" s="12"/>
      <c r="J12" s="12"/>
      <c r="K12" s="12"/>
      <c r="L12" s="12"/>
      <c r="M12" s="12"/>
    </row>
    <row r="13" spans="2:13" x14ac:dyDescent="0.3">
      <c r="H13" s="12"/>
      <c r="I13" s="12"/>
      <c r="J13" s="12"/>
      <c r="K13" s="12"/>
      <c r="L13" s="12"/>
      <c r="M13" s="12"/>
    </row>
    <row r="14" spans="2:13" x14ac:dyDescent="0.3">
      <c r="B14" s="49" t="s">
        <v>70</v>
      </c>
      <c r="C14" s="46"/>
      <c r="D14" s="46"/>
      <c r="E14" s="46"/>
      <c r="H14" s="12"/>
      <c r="I14" s="12"/>
      <c r="J14" s="12"/>
      <c r="K14" s="12"/>
      <c r="L14" s="12"/>
      <c r="M14" s="12"/>
    </row>
    <row r="15" spans="2:13" x14ac:dyDescent="0.3">
      <c r="B15" s="72" t="s">
        <v>53</v>
      </c>
      <c r="C15" s="47">
        <v>10</v>
      </c>
      <c r="D15" s="47">
        <v>10</v>
      </c>
      <c r="E15" s="47">
        <v>5</v>
      </c>
      <c r="F15" s="47">
        <v>2</v>
      </c>
      <c r="G15" s="47">
        <v>5</v>
      </c>
      <c r="H15" s="12"/>
      <c r="I15" s="12"/>
      <c r="J15" s="12"/>
      <c r="K15" s="12"/>
      <c r="L15" s="12"/>
      <c r="M15" s="12"/>
    </row>
    <row r="16" spans="2:13" x14ac:dyDescent="0.3">
      <c r="H16" s="12"/>
      <c r="I16" s="12"/>
      <c r="J16" s="12"/>
      <c r="K16" s="12"/>
      <c r="L16" s="12"/>
      <c r="M16" s="12"/>
    </row>
    <row r="17" spans="2:13" x14ac:dyDescent="0.3">
      <c r="B17" s="49" t="s">
        <v>71</v>
      </c>
      <c r="C17" s="46"/>
      <c r="D17" s="46"/>
      <c r="E17" s="46"/>
      <c r="H17" s="12"/>
      <c r="I17" s="12"/>
      <c r="J17" s="12"/>
      <c r="K17" s="12"/>
      <c r="L17" s="12"/>
      <c r="M17" s="12"/>
    </row>
    <row r="18" spans="2:13" x14ac:dyDescent="0.3">
      <c r="B18" s="72" t="s">
        <v>54</v>
      </c>
      <c r="C18" s="48">
        <f>LCM(C15:G15)</f>
        <v>10</v>
      </c>
      <c r="H18" s="12"/>
      <c r="I18" s="12"/>
      <c r="J18" s="12"/>
      <c r="K18" s="12"/>
      <c r="L18" s="12"/>
      <c r="M18" s="12"/>
    </row>
    <row r="19" spans="2:13" x14ac:dyDescent="0.3">
      <c r="H19" s="12"/>
      <c r="I19" s="12"/>
      <c r="J19" s="12"/>
      <c r="K19" s="12"/>
      <c r="L19" s="12"/>
      <c r="M19" s="12"/>
    </row>
    <row r="20" spans="2:13" x14ac:dyDescent="0.3">
      <c r="B20" s="49" t="s">
        <v>73</v>
      </c>
    </row>
    <row r="21" spans="2:13" x14ac:dyDescent="0.3">
      <c r="B21" s="108" t="str">
        <f>B6</f>
        <v>PROYECTO 1</v>
      </c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</row>
    <row r="22" spans="2:13" x14ac:dyDescent="0.3">
      <c r="B22" s="54" t="s">
        <v>1</v>
      </c>
      <c r="C22" s="27">
        <v>0</v>
      </c>
      <c r="D22" s="27">
        <v>1</v>
      </c>
      <c r="E22" s="27">
        <v>2</v>
      </c>
      <c r="F22" s="27">
        <v>3</v>
      </c>
      <c r="G22" s="27">
        <v>4</v>
      </c>
      <c r="H22" s="27">
        <v>5</v>
      </c>
      <c r="I22" s="27">
        <v>6</v>
      </c>
      <c r="J22" s="27">
        <v>7</v>
      </c>
      <c r="K22" s="27">
        <v>8</v>
      </c>
      <c r="L22" s="27">
        <v>9</v>
      </c>
      <c r="M22" s="27">
        <v>10</v>
      </c>
    </row>
    <row r="23" spans="2:13" x14ac:dyDescent="0.3">
      <c r="B23" s="54" t="s">
        <v>11</v>
      </c>
      <c r="C23" s="22">
        <f>C6</f>
        <v>-1500000</v>
      </c>
      <c r="D23" s="22"/>
      <c r="E23" s="22"/>
      <c r="F23" s="22"/>
      <c r="G23" s="22"/>
      <c r="H23" s="22"/>
      <c r="I23" s="22"/>
      <c r="J23" s="22"/>
      <c r="K23" s="22"/>
      <c r="L23" s="22"/>
      <c r="M23" s="22"/>
    </row>
    <row r="24" spans="2:13" x14ac:dyDescent="0.3">
      <c r="B24" s="54" t="s">
        <v>10</v>
      </c>
      <c r="C24" s="22"/>
      <c r="D24" s="22">
        <f t="shared" ref="D24:M24" si="0">D6</f>
        <v>280000</v>
      </c>
      <c r="E24" s="22">
        <f t="shared" si="0"/>
        <v>303000</v>
      </c>
      <c r="F24" s="22">
        <f t="shared" si="0"/>
        <v>326000</v>
      </c>
      <c r="G24" s="22">
        <f t="shared" si="0"/>
        <v>349000</v>
      </c>
      <c r="H24" s="22">
        <f t="shared" si="0"/>
        <v>372000</v>
      </c>
      <c r="I24" s="22">
        <f t="shared" si="0"/>
        <v>395000</v>
      </c>
      <c r="J24" s="22">
        <f t="shared" si="0"/>
        <v>418000</v>
      </c>
      <c r="K24" s="22">
        <f t="shared" si="0"/>
        <v>441000</v>
      </c>
      <c r="L24" s="22">
        <f t="shared" si="0"/>
        <v>464000</v>
      </c>
      <c r="M24" s="22">
        <f t="shared" si="0"/>
        <v>487000</v>
      </c>
    </row>
    <row r="25" spans="2:13" x14ac:dyDescent="0.3">
      <c r="B25" s="55" t="s">
        <v>9</v>
      </c>
      <c r="C25" s="56">
        <f>SUM(C23:C24)</f>
        <v>-1500000</v>
      </c>
      <c r="D25" s="56">
        <f t="shared" ref="D25:M25" si="1">SUM(D23:D24)</f>
        <v>280000</v>
      </c>
      <c r="E25" s="56">
        <f t="shared" si="1"/>
        <v>303000</v>
      </c>
      <c r="F25" s="56">
        <f t="shared" si="1"/>
        <v>326000</v>
      </c>
      <c r="G25" s="56">
        <f t="shared" si="1"/>
        <v>349000</v>
      </c>
      <c r="H25" s="56">
        <f t="shared" si="1"/>
        <v>372000</v>
      </c>
      <c r="I25" s="56">
        <f t="shared" si="1"/>
        <v>395000</v>
      </c>
      <c r="J25" s="56">
        <f t="shared" si="1"/>
        <v>418000</v>
      </c>
      <c r="K25" s="56">
        <f t="shared" si="1"/>
        <v>441000</v>
      </c>
      <c r="L25" s="56">
        <f t="shared" si="1"/>
        <v>464000</v>
      </c>
      <c r="M25" s="56">
        <f t="shared" si="1"/>
        <v>487000</v>
      </c>
    </row>
    <row r="26" spans="2:13" x14ac:dyDescent="0.3">
      <c r="B26" s="4"/>
      <c r="D26" s="5"/>
      <c r="E26" s="5"/>
      <c r="F26" s="5"/>
      <c r="G26" s="5"/>
      <c r="H26" s="5"/>
      <c r="I26" s="5"/>
      <c r="J26" s="5"/>
      <c r="K26" s="5"/>
      <c r="L26" s="5"/>
      <c r="M26" s="5"/>
    </row>
    <row r="27" spans="2:13" x14ac:dyDescent="0.3">
      <c r="B27" s="108" t="str">
        <f>B7</f>
        <v>PROYECTO 2</v>
      </c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</row>
    <row r="28" spans="2:13" x14ac:dyDescent="0.3">
      <c r="B28" s="54" t="s">
        <v>1</v>
      </c>
      <c r="C28" s="27">
        <v>0</v>
      </c>
      <c r="D28" s="27">
        <v>1</v>
      </c>
      <c r="E28" s="27">
        <v>2</v>
      </c>
      <c r="F28" s="27">
        <v>3</v>
      </c>
      <c r="G28" s="27">
        <v>4</v>
      </c>
      <c r="H28" s="27">
        <v>5</v>
      </c>
      <c r="I28" s="27">
        <v>6</v>
      </c>
      <c r="J28" s="27">
        <v>7</v>
      </c>
      <c r="K28" s="27">
        <v>8</v>
      </c>
      <c r="L28" s="27">
        <v>9</v>
      </c>
      <c r="M28" s="27">
        <v>10</v>
      </c>
    </row>
    <row r="29" spans="2:13" x14ac:dyDescent="0.3">
      <c r="B29" s="54" t="s">
        <v>11</v>
      </c>
      <c r="C29" s="22">
        <f>C7</f>
        <v>-1900000</v>
      </c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2:13" x14ac:dyDescent="0.3">
      <c r="B30" s="54" t="s">
        <v>12</v>
      </c>
      <c r="C30" s="22"/>
      <c r="D30" s="22">
        <f t="shared" ref="D30:M30" si="2">D7</f>
        <v>300000</v>
      </c>
      <c r="E30" s="22">
        <f t="shared" si="2"/>
        <v>322000</v>
      </c>
      <c r="F30" s="22">
        <f t="shared" si="2"/>
        <v>344000</v>
      </c>
      <c r="G30" s="22">
        <f t="shared" si="2"/>
        <v>366000</v>
      </c>
      <c r="H30" s="22">
        <f t="shared" si="2"/>
        <v>388000</v>
      </c>
      <c r="I30" s="22">
        <f t="shared" si="2"/>
        <v>410000</v>
      </c>
      <c r="J30" s="22">
        <f t="shared" si="2"/>
        <v>432000</v>
      </c>
      <c r="K30" s="22">
        <f t="shared" si="2"/>
        <v>454000</v>
      </c>
      <c r="L30" s="22">
        <f t="shared" si="2"/>
        <v>476000</v>
      </c>
      <c r="M30" s="22">
        <f t="shared" si="2"/>
        <v>498000</v>
      </c>
    </row>
    <row r="31" spans="2:13" x14ac:dyDescent="0.3">
      <c r="B31" s="55" t="s">
        <v>14</v>
      </c>
      <c r="C31" s="56">
        <f>SUM(C29:C30)</f>
        <v>-1900000</v>
      </c>
      <c r="D31" s="56">
        <f t="shared" ref="D31:M31" si="3">SUM(D29:D30)</f>
        <v>300000</v>
      </c>
      <c r="E31" s="56">
        <f t="shared" si="3"/>
        <v>322000</v>
      </c>
      <c r="F31" s="56">
        <f t="shared" si="3"/>
        <v>344000</v>
      </c>
      <c r="G31" s="56">
        <f t="shared" si="3"/>
        <v>366000</v>
      </c>
      <c r="H31" s="56">
        <f t="shared" si="3"/>
        <v>388000</v>
      </c>
      <c r="I31" s="56">
        <f t="shared" si="3"/>
        <v>410000</v>
      </c>
      <c r="J31" s="56">
        <f t="shared" si="3"/>
        <v>432000</v>
      </c>
      <c r="K31" s="56">
        <f t="shared" si="3"/>
        <v>454000</v>
      </c>
      <c r="L31" s="56">
        <f t="shared" si="3"/>
        <v>476000</v>
      </c>
      <c r="M31" s="56">
        <f t="shared" si="3"/>
        <v>498000</v>
      </c>
    </row>
    <row r="32" spans="2:13" x14ac:dyDescent="0.3">
      <c r="B32" s="4"/>
      <c r="D32" s="5"/>
      <c r="E32" s="5"/>
      <c r="F32" s="5"/>
      <c r="G32" s="5"/>
      <c r="H32" s="5"/>
      <c r="I32" s="5"/>
      <c r="J32" s="5"/>
      <c r="K32" s="5"/>
      <c r="L32" s="5"/>
      <c r="M32" s="5"/>
    </row>
    <row r="33" spans="2:13" x14ac:dyDescent="0.3">
      <c r="B33" s="108" t="str">
        <f>B8</f>
        <v>PROYECTO 3</v>
      </c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</row>
    <row r="34" spans="2:13" x14ac:dyDescent="0.3">
      <c r="B34" s="54" t="s">
        <v>1</v>
      </c>
      <c r="C34" s="27">
        <v>0</v>
      </c>
      <c r="D34" s="27">
        <v>1</v>
      </c>
      <c r="E34" s="27">
        <v>2</v>
      </c>
      <c r="F34" s="27">
        <v>3</v>
      </c>
      <c r="G34" s="27">
        <v>4</v>
      </c>
      <c r="H34" s="27">
        <v>5</v>
      </c>
      <c r="I34" s="27">
        <v>6</v>
      </c>
      <c r="J34" s="27">
        <v>7</v>
      </c>
      <c r="K34" s="27">
        <v>8</v>
      </c>
      <c r="L34" s="27">
        <v>9</v>
      </c>
      <c r="M34" s="27">
        <v>10</v>
      </c>
    </row>
    <row r="35" spans="2:13" x14ac:dyDescent="0.3">
      <c r="B35" s="54" t="s">
        <v>11</v>
      </c>
      <c r="C35" s="22">
        <f>C8</f>
        <v>-600000</v>
      </c>
      <c r="D35" s="57"/>
      <c r="E35" s="57"/>
      <c r="F35" s="57"/>
      <c r="G35" s="57"/>
      <c r="H35" s="57"/>
      <c r="I35" s="57"/>
      <c r="J35" s="57"/>
      <c r="K35" s="57"/>
      <c r="L35" s="57"/>
      <c r="M35" s="57"/>
    </row>
    <row r="36" spans="2:13" x14ac:dyDescent="0.3">
      <c r="B36" s="109" t="s">
        <v>12</v>
      </c>
      <c r="C36" s="22"/>
      <c r="D36" s="22">
        <f>D8</f>
        <v>200000</v>
      </c>
      <c r="E36" s="22">
        <f>E8</f>
        <v>200000</v>
      </c>
      <c r="F36" s="22">
        <f>F8</f>
        <v>200000</v>
      </c>
      <c r="G36" s="22">
        <f>G8</f>
        <v>200000</v>
      </c>
      <c r="H36" s="22">
        <f>H8</f>
        <v>200000</v>
      </c>
      <c r="I36" s="22"/>
      <c r="J36" s="22"/>
      <c r="K36" s="22"/>
      <c r="L36" s="22"/>
      <c r="M36" s="22"/>
    </row>
    <row r="37" spans="2:13" x14ac:dyDescent="0.3">
      <c r="B37" s="110"/>
      <c r="C37" s="22"/>
      <c r="D37" s="22"/>
      <c r="E37" s="22"/>
      <c r="F37" s="22"/>
      <c r="G37" s="22"/>
      <c r="H37" s="22">
        <f t="shared" ref="H37:M37" si="4">C8</f>
        <v>-600000</v>
      </c>
      <c r="I37" s="22">
        <f t="shared" si="4"/>
        <v>200000</v>
      </c>
      <c r="J37" s="22">
        <f t="shared" si="4"/>
        <v>200000</v>
      </c>
      <c r="K37" s="22">
        <f t="shared" si="4"/>
        <v>200000</v>
      </c>
      <c r="L37" s="22">
        <f t="shared" si="4"/>
        <v>200000</v>
      </c>
      <c r="M37" s="22">
        <f t="shared" si="4"/>
        <v>200000</v>
      </c>
    </row>
    <row r="38" spans="2:13" x14ac:dyDescent="0.3">
      <c r="B38" s="55" t="s">
        <v>13</v>
      </c>
      <c r="C38" s="56">
        <f>SUM(C35:C37)</f>
        <v>-600000</v>
      </c>
      <c r="D38" s="56">
        <f t="shared" ref="D38:M38" si="5">SUM(D35:D37)</f>
        <v>200000</v>
      </c>
      <c r="E38" s="56">
        <f t="shared" si="5"/>
        <v>200000</v>
      </c>
      <c r="F38" s="56">
        <f t="shared" si="5"/>
        <v>200000</v>
      </c>
      <c r="G38" s="56">
        <f t="shared" si="5"/>
        <v>200000</v>
      </c>
      <c r="H38" s="56">
        <f t="shared" si="5"/>
        <v>-400000</v>
      </c>
      <c r="I38" s="56">
        <f t="shared" si="5"/>
        <v>200000</v>
      </c>
      <c r="J38" s="56">
        <f t="shared" si="5"/>
        <v>200000</v>
      </c>
      <c r="K38" s="56">
        <f t="shared" si="5"/>
        <v>200000</v>
      </c>
      <c r="L38" s="56">
        <f t="shared" si="5"/>
        <v>200000</v>
      </c>
      <c r="M38" s="56">
        <f t="shared" si="5"/>
        <v>200000</v>
      </c>
    </row>
    <row r="40" spans="2:13" x14ac:dyDescent="0.3">
      <c r="B40" s="108" t="str">
        <f>B9</f>
        <v>PROYECTO 4</v>
      </c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</row>
    <row r="41" spans="2:13" x14ac:dyDescent="0.3">
      <c r="B41" s="54" t="s">
        <v>1</v>
      </c>
      <c r="C41" s="27">
        <v>0</v>
      </c>
      <c r="D41" s="27">
        <v>1</v>
      </c>
      <c r="E41" s="27">
        <v>2</v>
      </c>
      <c r="F41" s="27">
        <v>3</v>
      </c>
      <c r="G41" s="27">
        <v>4</v>
      </c>
      <c r="H41" s="27">
        <v>5</v>
      </c>
      <c r="I41" s="27">
        <v>6</v>
      </c>
      <c r="J41" s="27">
        <v>7</v>
      </c>
      <c r="K41" s="27">
        <v>8</v>
      </c>
      <c r="L41" s="27">
        <v>9</v>
      </c>
      <c r="M41" s="27">
        <v>10</v>
      </c>
    </row>
    <row r="42" spans="2:13" x14ac:dyDescent="0.3">
      <c r="B42" s="54" t="s">
        <v>11</v>
      </c>
      <c r="C42" s="22">
        <f>C9</f>
        <v>-500000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</row>
    <row r="43" spans="2:13" x14ac:dyDescent="0.3">
      <c r="B43" s="111" t="s">
        <v>12</v>
      </c>
      <c r="C43" s="22"/>
      <c r="D43" s="22">
        <f>D9</f>
        <v>350000</v>
      </c>
      <c r="E43" s="22">
        <f>E9</f>
        <v>300000</v>
      </c>
      <c r="F43" s="22"/>
      <c r="G43" s="22"/>
      <c r="H43" s="22"/>
      <c r="I43" s="22"/>
      <c r="J43" s="22"/>
      <c r="K43" s="22"/>
      <c r="L43" s="22"/>
      <c r="M43" s="22"/>
    </row>
    <row r="44" spans="2:13" x14ac:dyDescent="0.3">
      <c r="B44" s="111"/>
      <c r="C44" s="22"/>
      <c r="D44" s="22"/>
      <c r="E44" s="22">
        <f>C9</f>
        <v>-500000</v>
      </c>
      <c r="F44" s="22">
        <f>D9</f>
        <v>350000</v>
      </c>
      <c r="G44" s="22">
        <f>E9</f>
        <v>300000</v>
      </c>
      <c r="H44" s="22"/>
      <c r="I44" s="22"/>
      <c r="J44" s="22"/>
      <c r="K44" s="22"/>
      <c r="L44" s="22"/>
      <c r="M44" s="22"/>
    </row>
    <row r="45" spans="2:13" x14ac:dyDescent="0.3">
      <c r="B45" s="111"/>
      <c r="C45" s="22"/>
      <c r="D45" s="22"/>
      <c r="E45" s="22"/>
      <c r="F45" s="22"/>
      <c r="G45" s="22">
        <f>C9</f>
        <v>-500000</v>
      </c>
      <c r="H45" s="22">
        <f>D9</f>
        <v>350000</v>
      </c>
      <c r="I45" s="22">
        <f>E9</f>
        <v>300000</v>
      </c>
      <c r="J45" s="22"/>
      <c r="K45" s="22"/>
      <c r="L45" s="22"/>
      <c r="M45" s="22"/>
    </row>
    <row r="46" spans="2:13" x14ac:dyDescent="0.3">
      <c r="B46" s="111"/>
      <c r="C46" s="22"/>
      <c r="D46" s="22"/>
      <c r="E46" s="22"/>
      <c r="F46" s="22"/>
      <c r="G46" s="22"/>
      <c r="H46" s="22"/>
      <c r="I46" s="22">
        <f>C9</f>
        <v>-500000</v>
      </c>
      <c r="J46" s="22">
        <f>D9</f>
        <v>350000</v>
      </c>
      <c r="K46" s="22">
        <f>E9</f>
        <v>300000</v>
      </c>
      <c r="L46" s="22"/>
      <c r="M46" s="22"/>
    </row>
    <row r="47" spans="2:13" x14ac:dyDescent="0.3">
      <c r="B47" s="111"/>
      <c r="C47" s="22"/>
      <c r="D47" s="22"/>
      <c r="E47" s="22"/>
      <c r="F47" s="22"/>
      <c r="G47" s="22"/>
      <c r="H47" s="22"/>
      <c r="I47" s="22"/>
      <c r="J47" s="22"/>
      <c r="K47" s="22">
        <f>C9</f>
        <v>-500000</v>
      </c>
      <c r="L47" s="22">
        <f>D9</f>
        <v>350000</v>
      </c>
      <c r="M47" s="22">
        <f>E9</f>
        <v>300000</v>
      </c>
    </row>
    <row r="48" spans="2:13" x14ac:dyDescent="0.3">
      <c r="B48" s="58" t="s">
        <v>15</v>
      </c>
      <c r="C48" s="56">
        <f>SUM(C42:C47)</f>
        <v>-500000</v>
      </c>
      <c r="D48" s="56">
        <f t="shared" ref="D48:M48" si="6">SUM(D42:D47)</f>
        <v>350000</v>
      </c>
      <c r="E48" s="56">
        <f t="shared" si="6"/>
        <v>-200000</v>
      </c>
      <c r="F48" s="56">
        <f t="shared" si="6"/>
        <v>350000</v>
      </c>
      <c r="G48" s="56">
        <f t="shared" si="6"/>
        <v>-200000</v>
      </c>
      <c r="H48" s="56">
        <f t="shared" si="6"/>
        <v>350000</v>
      </c>
      <c r="I48" s="56">
        <f t="shared" si="6"/>
        <v>-200000</v>
      </c>
      <c r="J48" s="56">
        <f t="shared" si="6"/>
        <v>350000</v>
      </c>
      <c r="K48" s="56">
        <f t="shared" si="6"/>
        <v>-200000</v>
      </c>
      <c r="L48" s="56">
        <f t="shared" si="6"/>
        <v>350000</v>
      </c>
      <c r="M48" s="56">
        <f t="shared" si="6"/>
        <v>300000</v>
      </c>
    </row>
    <row r="49" spans="2:13" x14ac:dyDescent="0.3">
      <c r="I49" s="5"/>
      <c r="J49" s="5"/>
      <c r="K49" s="5"/>
    </row>
    <row r="50" spans="2:13" x14ac:dyDescent="0.3">
      <c r="B50" s="108" t="str">
        <f>B10</f>
        <v>PROYECTO 5</v>
      </c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</row>
    <row r="51" spans="2:13" x14ac:dyDescent="0.3">
      <c r="B51" s="54" t="s">
        <v>1</v>
      </c>
      <c r="C51" s="27">
        <v>0</v>
      </c>
      <c r="D51" s="27">
        <v>1</v>
      </c>
      <c r="E51" s="27">
        <v>2</v>
      </c>
      <c r="F51" s="27">
        <v>3</v>
      </c>
      <c r="G51" s="27">
        <v>4</v>
      </c>
      <c r="H51" s="27">
        <v>5</v>
      </c>
      <c r="I51" s="27">
        <v>6</v>
      </c>
      <c r="J51" s="27">
        <v>7</v>
      </c>
      <c r="K51" s="27">
        <v>8</v>
      </c>
      <c r="L51" s="27">
        <v>9</v>
      </c>
      <c r="M51" s="27">
        <v>10</v>
      </c>
    </row>
    <row r="52" spans="2:13" x14ac:dyDescent="0.3">
      <c r="B52" s="50" t="s">
        <v>11</v>
      </c>
      <c r="C52" s="22">
        <f>C10</f>
        <v>-900000</v>
      </c>
      <c r="D52" s="22"/>
      <c r="E52" s="22"/>
      <c r="F52" s="22"/>
      <c r="G52" s="22"/>
      <c r="H52" s="22"/>
      <c r="I52" s="22"/>
      <c r="J52" s="22"/>
      <c r="K52" s="22"/>
      <c r="L52" s="22"/>
      <c r="M52" s="22"/>
    </row>
    <row r="53" spans="2:13" x14ac:dyDescent="0.3">
      <c r="B53" s="109" t="s">
        <v>55</v>
      </c>
      <c r="C53" s="22"/>
      <c r="D53" s="22">
        <f>D10</f>
        <v>200000</v>
      </c>
      <c r="E53" s="22">
        <f>E10</f>
        <v>250000</v>
      </c>
      <c r="F53" s="22">
        <f>F10</f>
        <v>300000</v>
      </c>
      <c r="G53" s="22">
        <f>G10</f>
        <v>350000</v>
      </c>
      <c r="H53" s="22">
        <f>H10</f>
        <v>400000</v>
      </c>
      <c r="I53" s="22"/>
      <c r="J53" s="22"/>
      <c r="K53" s="22"/>
      <c r="L53" s="22"/>
      <c r="M53" s="22"/>
    </row>
    <row r="54" spans="2:13" x14ac:dyDescent="0.3">
      <c r="B54" s="110"/>
      <c r="C54" s="22"/>
      <c r="D54" s="22"/>
      <c r="E54" s="22"/>
      <c r="F54" s="22"/>
      <c r="G54" s="22"/>
      <c r="H54" s="22">
        <f t="shared" ref="H54:M54" si="7">C10</f>
        <v>-900000</v>
      </c>
      <c r="I54" s="22">
        <f t="shared" si="7"/>
        <v>200000</v>
      </c>
      <c r="J54" s="22">
        <f t="shared" si="7"/>
        <v>250000</v>
      </c>
      <c r="K54" s="22">
        <f t="shared" si="7"/>
        <v>300000</v>
      </c>
      <c r="L54" s="22">
        <f t="shared" si="7"/>
        <v>350000</v>
      </c>
      <c r="M54" s="22">
        <f t="shared" si="7"/>
        <v>400000</v>
      </c>
    </row>
    <row r="55" spans="2:13" x14ac:dyDescent="0.3">
      <c r="B55" s="55" t="s">
        <v>9</v>
      </c>
      <c r="C55" s="56">
        <f>SUM(C52:C54)</f>
        <v>-900000</v>
      </c>
      <c r="D55" s="56">
        <f t="shared" ref="D55:M55" si="8">SUM(D52:D54)</f>
        <v>200000</v>
      </c>
      <c r="E55" s="56">
        <f t="shared" si="8"/>
        <v>250000</v>
      </c>
      <c r="F55" s="56">
        <f t="shared" si="8"/>
        <v>300000</v>
      </c>
      <c r="G55" s="56">
        <f t="shared" si="8"/>
        <v>350000</v>
      </c>
      <c r="H55" s="56">
        <f t="shared" si="8"/>
        <v>-500000</v>
      </c>
      <c r="I55" s="56">
        <f t="shared" si="8"/>
        <v>200000</v>
      </c>
      <c r="J55" s="56">
        <f t="shared" si="8"/>
        <v>250000</v>
      </c>
      <c r="K55" s="56">
        <f t="shared" si="8"/>
        <v>300000</v>
      </c>
      <c r="L55" s="56">
        <f t="shared" si="8"/>
        <v>350000</v>
      </c>
      <c r="M55" s="56">
        <f t="shared" si="8"/>
        <v>400000</v>
      </c>
    </row>
    <row r="57" spans="2:13" x14ac:dyDescent="0.3">
      <c r="E57" s="95" t="s">
        <v>0</v>
      </c>
      <c r="F57" s="95"/>
      <c r="G57" s="95"/>
      <c r="H57" s="95"/>
      <c r="I57" s="101">
        <v>0.19</v>
      </c>
      <c r="J57" s="101"/>
    </row>
    <row r="59" spans="2:13" x14ac:dyDescent="0.3">
      <c r="E59" s="72" t="s">
        <v>1</v>
      </c>
      <c r="F59" s="72" t="s">
        <v>2</v>
      </c>
      <c r="G59" s="72" t="s">
        <v>3</v>
      </c>
      <c r="H59" s="72" t="s">
        <v>4</v>
      </c>
      <c r="I59" s="72" t="s">
        <v>5</v>
      </c>
      <c r="J59" s="72" t="s">
        <v>6</v>
      </c>
    </row>
    <row r="60" spans="2:13" x14ac:dyDescent="0.3">
      <c r="E60" s="18">
        <v>0</v>
      </c>
      <c r="F60" s="15">
        <f>Ej_Amber_A!C97</f>
        <v>-1500000</v>
      </c>
      <c r="G60" s="15">
        <f>Ej_Amber_A!D97</f>
        <v>-1900000</v>
      </c>
      <c r="H60" s="15">
        <f>Ej_Amber_A!E97</f>
        <v>-600000</v>
      </c>
      <c r="I60" s="15">
        <f>Ej_Amber_A!F97</f>
        <v>-500000</v>
      </c>
      <c r="J60" s="15">
        <f>Ej_Amber_A!G97</f>
        <v>-900000</v>
      </c>
    </row>
    <row r="61" spans="2:13" x14ac:dyDescent="0.3">
      <c r="E61" s="18">
        <v>1</v>
      </c>
      <c r="F61" s="15">
        <f>Ej_Amber_A!C98</f>
        <v>280000</v>
      </c>
      <c r="G61" s="15">
        <f>Ej_Amber_A!D98</f>
        <v>300000</v>
      </c>
      <c r="H61" s="15">
        <f>Ej_Amber_A!E98</f>
        <v>200000</v>
      </c>
      <c r="I61" s="15">
        <f>Ej_Amber_A!F98</f>
        <v>350000</v>
      </c>
      <c r="J61" s="15">
        <f>Ej_Amber_A!G98</f>
        <v>200000</v>
      </c>
    </row>
    <row r="62" spans="2:13" x14ac:dyDescent="0.3">
      <c r="E62" s="18">
        <v>2</v>
      </c>
      <c r="F62" s="15">
        <f>Ej_Amber_A!C99</f>
        <v>303000</v>
      </c>
      <c r="G62" s="15">
        <f>Ej_Amber_A!D99</f>
        <v>322000</v>
      </c>
      <c r="H62" s="15">
        <f>Ej_Amber_A!E99</f>
        <v>200000</v>
      </c>
      <c r="I62" s="15">
        <f>Ej_Amber_A!F99</f>
        <v>-200000</v>
      </c>
      <c r="J62" s="15">
        <f>Ej_Amber_A!G99</f>
        <v>250000</v>
      </c>
    </row>
    <row r="63" spans="2:13" x14ac:dyDescent="0.3">
      <c r="E63" s="18">
        <v>3</v>
      </c>
      <c r="F63" s="15">
        <f>Ej_Amber_A!C100</f>
        <v>326000</v>
      </c>
      <c r="G63" s="15">
        <f>Ej_Amber_A!D100</f>
        <v>344000</v>
      </c>
      <c r="H63" s="15">
        <f>Ej_Amber_A!E100</f>
        <v>200000</v>
      </c>
      <c r="I63" s="15">
        <f>Ej_Amber_A!F100</f>
        <v>350000</v>
      </c>
      <c r="J63" s="15">
        <f>Ej_Amber_A!G100</f>
        <v>300000</v>
      </c>
    </row>
    <row r="64" spans="2:13" x14ac:dyDescent="0.3">
      <c r="E64" s="18">
        <v>4</v>
      </c>
      <c r="F64" s="15">
        <f>Ej_Amber_A!C101</f>
        <v>349000</v>
      </c>
      <c r="G64" s="15">
        <f>Ej_Amber_A!D101</f>
        <v>366000</v>
      </c>
      <c r="H64" s="15">
        <f>Ej_Amber_A!E101</f>
        <v>200000</v>
      </c>
      <c r="I64" s="15">
        <f>Ej_Amber_A!F101</f>
        <v>-200000</v>
      </c>
      <c r="J64" s="15">
        <f>Ej_Amber_A!G101</f>
        <v>350000</v>
      </c>
    </row>
    <row r="65" spans="3:12" x14ac:dyDescent="0.3">
      <c r="E65" s="18">
        <v>5</v>
      </c>
      <c r="F65" s="15">
        <f>Ej_Amber_A!C102</f>
        <v>372000</v>
      </c>
      <c r="G65" s="15">
        <f>Ej_Amber_A!D102</f>
        <v>388000</v>
      </c>
      <c r="H65" s="15">
        <f>Ej_Amber_A!E102</f>
        <v>-400000</v>
      </c>
      <c r="I65" s="15">
        <f>Ej_Amber_A!F102</f>
        <v>350000</v>
      </c>
      <c r="J65" s="15">
        <f>Ej_Amber_A!G102</f>
        <v>-500000</v>
      </c>
    </row>
    <row r="66" spans="3:12" x14ac:dyDescent="0.3">
      <c r="E66" s="18">
        <v>6</v>
      </c>
      <c r="F66" s="15">
        <f>Ej_Amber_A!C103</f>
        <v>395000</v>
      </c>
      <c r="G66" s="15">
        <f>Ej_Amber_A!D103</f>
        <v>410000</v>
      </c>
      <c r="H66" s="15">
        <f>Ej_Amber_A!E103</f>
        <v>200000</v>
      </c>
      <c r="I66" s="15">
        <f>Ej_Amber_A!F103</f>
        <v>-200000</v>
      </c>
      <c r="J66" s="15">
        <f>Ej_Amber_A!G103</f>
        <v>200000</v>
      </c>
    </row>
    <row r="67" spans="3:12" x14ac:dyDescent="0.3">
      <c r="E67" s="18">
        <v>7</v>
      </c>
      <c r="F67" s="15">
        <f>Ej_Amber_A!C104</f>
        <v>418000</v>
      </c>
      <c r="G67" s="15">
        <f>Ej_Amber_A!D104</f>
        <v>432000</v>
      </c>
      <c r="H67" s="15">
        <f>Ej_Amber_A!E104</f>
        <v>200000</v>
      </c>
      <c r="I67" s="15">
        <f>Ej_Amber_A!F104</f>
        <v>350000</v>
      </c>
      <c r="J67" s="15">
        <f>Ej_Amber_A!G104</f>
        <v>250000</v>
      </c>
    </row>
    <row r="68" spans="3:12" x14ac:dyDescent="0.3">
      <c r="E68" s="18">
        <v>8</v>
      </c>
      <c r="F68" s="15">
        <f>Ej_Amber_A!C105</f>
        <v>441000</v>
      </c>
      <c r="G68" s="15">
        <f>Ej_Amber_A!D105</f>
        <v>454000</v>
      </c>
      <c r="H68" s="15">
        <f>Ej_Amber_A!E105</f>
        <v>200000</v>
      </c>
      <c r="I68" s="15">
        <f>Ej_Amber_A!F105</f>
        <v>-200000</v>
      </c>
      <c r="J68" s="15">
        <f>Ej_Amber_A!G105</f>
        <v>300000</v>
      </c>
    </row>
    <row r="69" spans="3:12" x14ac:dyDescent="0.3">
      <c r="E69" s="18">
        <v>9</v>
      </c>
      <c r="F69" s="15">
        <f>Ej_Amber_A!C106</f>
        <v>464000</v>
      </c>
      <c r="G69" s="15">
        <f>Ej_Amber_A!D106</f>
        <v>476000</v>
      </c>
      <c r="H69" s="15">
        <f>Ej_Amber_A!E106</f>
        <v>200000</v>
      </c>
      <c r="I69" s="15">
        <f>Ej_Amber_A!F106</f>
        <v>350000</v>
      </c>
      <c r="J69" s="15">
        <f>Ej_Amber_A!G106</f>
        <v>350000</v>
      </c>
    </row>
    <row r="70" spans="3:12" x14ac:dyDescent="0.3">
      <c r="E70" s="18">
        <v>10</v>
      </c>
      <c r="F70" s="15">
        <f>Ej_Amber_A!C107</f>
        <v>487000</v>
      </c>
      <c r="G70" s="15">
        <f>Ej_Amber_A!D107</f>
        <v>498000</v>
      </c>
      <c r="H70" s="15">
        <f>Ej_Amber_A!E107</f>
        <v>200000</v>
      </c>
      <c r="I70" s="15">
        <f>Ej_Amber_A!F107</f>
        <v>300000</v>
      </c>
      <c r="J70" s="15">
        <f>Ej_Amber_A!G107</f>
        <v>400000</v>
      </c>
    </row>
    <row r="71" spans="3:12" x14ac:dyDescent="0.3">
      <c r="C71" s="11"/>
      <c r="D71" s="12"/>
    </row>
    <row r="72" spans="3:12" x14ac:dyDescent="0.3">
      <c r="C72" s="99" t="s">
        <v>74</v>
      </c>
      <c r="D72" s="99"/>
      <c r="E72" s="99"/>
      <c r="F72" s="99"/>
      <c r="G72" s="99"/>
      <c r="H72" s="99"/>
      <c r="J72" s="96" t="s">
        <v>94</v>
      </c>
      <c r="K72" s="97"/>
      <c r="L72" s="98"/>
    </row>
    <row r="73" spans="3:12" x14ac:dyDescent="0.3">
      <c r="C73" s="3"/>
      <c r="D73" s="12"/>
      <c r="E73" s="12"/>
      <c r="F73" s="12"/>
      <c r="G73" s="12"/>
      <c r="H73" s="12"/>
      <c r="J73" s="68" t="s">
        <v>79</v>
      </c>
      <c r="K73" s="68" t="s">
        <v>93</v>
      </c>
      <c r="L73" s="68" t="s">
        <v>7</v>
      </c>
    </row>
    <row r="74" spans="3:12" x14ac:dyDescent="0.3">
      <c r="C74" s="11"/>
      <c r="D74" s="12"/>
      <c r="E74" s="12"/>
      <c r="F74" s="12"/>
      <c r="G74" s="12"/>
      <c r="H74" s="12"/>
      <c r="J74" s="18">
        <v>1</v>
      </c>
      <c r="K74" s="22" t="str">
        <f>D75</f>
        <v>PROYECTO 1</v>
      </c>
      <c r="L74" s="15">
        <f>D76</f>
        <v>27569.95025504427</v>
      </c>
    </row>
    <row r="75" spans="3:12" x14ac:dyDescent="0.3">
      <c r="C75" s="11"/>
      <c r="D75" s="72" t="s">
        <v>2</v>
      </c>
      <c r="E75" s="72" t="s">
        <v>3</v>
      </c>
      <c r="F75" s="72" t="s">
        <v>4</v>
      </c>
      <c r="G75" s="72" t="s">
        <v>5</v>
      </c>
      <c r="H75" s="72" t="s">
        <v>6</v>
      </c>
      <c r="J75" s="18">
        <v>2</v>
      </c>
      <c r="K75" s="22" t="str">
        <f>G75</f>
        <v>PROYECTO 4</v>
      </c>
      <c r="L75" s="15">
        <f>G76</f>
        <v>16741.552340552094</v>
      </c>
    </row>
    <row r="76" spans="3:12" x14ac:dyDescent="0.3">
      <c r="C76" s="73" t="s">
        <v>7</v>
      </c>
      <c r="D76" s="15">
        <f>NPV($I$57,F61:F70)+F60</f>
        <v>27569.95025504427</v>
      </c>
      <c r="E76" s="15">
        <f t="shared" ref="E76:H76" si="9">NPV($I$57,G61:G70)+G60</f>
        <v>-299245.62142777839</v>
      </c>
      <c r="F76" s="15">
        <f t="shared" si="9"/>
        <v>16357.350833320175</v>
      </c>
      <c r="G76" s="15">
        <f t="shared" si="9"/>
        <v>16741.552340552094</v>
      </c>
      <c r="H76" s="15">
        <f t="shared" si="9"/>
        <v>-49969.003625922487</v>
      </c>
      <c r="J76" s="18">
        <v>3</v>
      </c>
      <c r="K76" s="22" t="str">
        <f>F75</f>
        <v>PROYECTO 3</v>
      </c>
      <c r="L76" s="15">
        <f>F76</f>
        <v>16357.350833320175</v>
      </c>
    </row>
    <row r="77" spans="3:12" x14ac:dyDescent="0.3">
      <c r="C77" s="3"/>
      <c r="D77" s="36">
        <v>1</v>
      </c>
      <c r="E77" s="36">
        <v>5</v>
      </c>
      <c r="F77" s="36">
        <v>3</v>
      </c>
      <c r="G77" s="36">
        <v>2</v>
      </c>
      <c r="H77" s="36">
        <v>4</v>
      </c>
      <c r="J77" s="18">
        <v>4</v>
      </c>
      <c r="K77" s="22" t="str">
        <f>H75</f>
        <v>PROYECTO 5</v>
      </c>
      <c r="L77" s="15">
        <f>H76</f>
        <v>-49969.003625922487</v>
      </c>
    </row>
    <row r="78" spans="3:12" x14ac:dyDescent="0.3">
      <c r="C78" s="3"/>
      <c r="J78" s="18">
        <v>5</v>
      </c>
      <c r="K78" s="22" t="str">
        <f>E75</f>
        <v>PROYECTO 2</v>
      </c>
      <c r="L78" s="15">
        <f>E76</f>
        <v>-299245.62142777839</v>
      </c>
    </row>
    <row r="79" spans="3:12" x14ac:dyDescent="0.3">
      <c r="C79" s="3"/>
      <c r="D79" s="3"/>
      <c r="E79" s="3"/>
      <c r="F79" s="3"/>
      <c r="G79" s="3"/>
      <c r="H79" s="3"/>
    </row>
    <row r="80" spans="3:12" x14ac:dyDescent="0.3">
      <c r="C80" s="3"/>
      <c r="D80" s="3"/>
      <c r="E80" s="3"/>
      <c r="F80" s="3"/>
      <c r="G80" s="3"/>
      <c r="H80" s="3"/>
    </row>
    <row r="81" spans="3:12" x14ac:dyDescent="0.3">
      <c r="C81" s="99" t="s">
        <v>75</v>
      </c>
      <c r="D81" s="99"/>
      <c r="E81" s="99"/>
      <c r="F81" s="99"/>
      <c r="G81" s="99"/>
      <c r="H81" s="99"/>
      <c r="J81" s="105" t="s">
        <v>94</v>
      </c>
      <c r="K81" s="106"/>
      <c r="L81" s="107"/>
    </row>
    <row r="82" spans="3:12" x14ac:dyDescent="0.3">
      <c r="C82" s="3"/>
      <c r="D82" s="3"/>
      <c r="E82" s="3"/>
      <c r="F82" s="3"/>
      <c r="G82" s="3"/>
      <c r="H82" s="3"/>
      <c r="J82" s="68" t="s">
        <v>79</v>
      </c>
      <c r="K82" s="68" t="s">
        <v>93</v>
      </c>
      <c r="L82" s="68" t="s">
        <v>8</v>
      </c>
    </row>
    <row r="83" spans="3:12" x14ac:dyDescent="0.3">
      <c r="C83" s="3"/>
      <c r="D83" s="3"/>
      <c r="E83" s="3"/>
      <c r="F83" s="3"/>
      <c r="G83" s="3"/>
      <c r="H83" s="3"/>
      <c r="J83" s="18">
        <v>1</v>
      </c>
      <c r="K83" s="22" t="str">
        <f>G84</f>
        <v>PROYECTO 4</v>
      </c>
      <c r="L83" s="20">
        <f>G85</f>
        <v>0.19999999999999973</v>
      </c>
    </row>
    <row r="84" spans="3:12" x14ac:dyDescent="0.3">
      <c r="C84" s="3"/>
      <c r="D84" s="72" t="s">
        <v>2</v>
      </c>
      <c r="E84" s="72" t="s">
        <v>3</v>
      </c>
      <c r="F84" s="72" t="s">
        <v>4</v>
      </c>
      <c r="G84" s="72" t="s">
        <v>5</v>
      </c>
      <c r="H84" s="72" t="s">
        <v>6</v>
      </c>
      <c r="J84" s="18">
        <v>2</v>
      </c>
      <c r="K84" s="22" t="str">
        <f>F84</f>
        <v>PROYECTO 3</v>
      </c>
      <c r="L84" s="65">
        <f>F85</f>
        <v>0.198577097873192</v>
      </c>
    </row>
    <row r="85" spans="3:12" x14ac:dyDescent="0.3">
      <c r="C85" s="73" t="s">
        <v>8</v>
      </c>
      <c r="D85" s="65">
        <f>IRR(F60:F70)</f>
        <v>0.19473808422098338</v>
      </c>
      <c r="E85" s="65">
        <f>IRR(G60:G70)</f>
        <v>0.14738085161917169</v>
      </c>
      <c r="F85" s="65">
        <f>IRR(H60:H70)</f>
        <v>0.198577097873192</v>
      </c>
      <c r="G85" s="20">
        <f>IRR(I60:I70)</f>
        <v>0.19999999999999973</v>
      </c>
      <c r="H85" s="16">
        <f>IRR(J60:J70)</f>
        <v>0.17432326005713539</v>
      </c>
      <c r="J85" s="18">
        <v>3</v>
      </c>
      <c r="K85" s="22" t="str">
        <f>D84</f>
        <v>PROYECTO 1</v>
      </c>
      <c r="L85" s="65">
        <f>D85</f>
        <v>0.19473808422098338</v>
      </c>
    </row>
    <row r="86" spans="3:12" x14ac:dyDescent="0.3">
      <c r="D86" s="81">
        <v>3</v>
      </c>
      <c r="E86" s="81">
        <v>5</v>
      </c>
      <c r="F86" s="81">
        <v>2</v>
      </c>
      <c r="G86" s="81">
        <v>1</v>
      </c>
      <c r="H86" s="81">
        <v>4</v>
      </c>
      <c r="J86" s="18">
        <v>4</v>
      </c>
      <c r="K86" s="22" t="str">
        <f>H84</f>
        <v>PROYECTO 5</v>
      </c>
      <c r="L86" s="65">
        <f>H85</f>
        <v>0.17432326005713539</v>
      </c>
    </row>
    <row r="87" spans="3:12" x14ac:dyDescent="0.3">
      <c r="J87" s="18">
        <v>5</v>
      </c>
      <c r="K87" s="22" t="str">
        <f>E84</f>
        <v>PROYECTO 2</v>
      </c>
      <c r="L87" s="65">
        <f>E85</f>
        <v>0.14738085161917169</v>
      </c>
    </row>
  </sheetData>
  <mergeCells count="16">
    <mergeCell ref="B1:M1"/>
    <mergeCell ref="B3:M3"/>
    <mergeCell ref="B50:M50"/>
    <mergeCell ref="B53:B54"/>
    <mergeCell ref="B21:M21"/>
    <mergeCell ref="B27:M27"/>
    <mergeCell ref="B33:M33"/>
    <mergeCell ref="B36:B37"/>
    <mergeCell ref="B40:M40"/>
    <mergeCell ref="B43:B47"/>
    <mergeCell ref="C81:H81"/>
    <mergeCell ref="C72:H72"/>
    <mergeCell ref="E57:H57"/>
    <mergeCell ref="I57:J57"/>
    <mergeCell ref="J81:L81"/>
    <mergeCell ref="J72:L7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H88"/>
  <sheetViews>
    <sheetView showGridLines="0" showRowColHeaders="0" zoomScale="115" zoomScaleNormal="115" workbookViewId="0">
      <selection activeCell="C5" sqref="C5:C6"/>
    </sheetView>
  </sheetViews>
  <sheetFormatPr baseColWidth="10" defaultRowHeight="16.5" x14ac:dyDescent="0.3"/>
  <cols>
    <col min="1" max="1" width="34.25" customWidth="1"/>
    <col min="2" max="2" width="9.125" customWidth="1"/>
    <col min="3" max="3" width="15.875" customWidth="1"/>
    <col min="4" max="4" width="26.125" customWidth="1"/>
    <col min="5" max="5" width="27.25" customWidth="1"/>
    <col min="6" max="6" width="12.125" customWidth="1"/>
    <col min="7" max="7" width="15.25" customWidth="1"/>
    <col min="8" max="9" width="15.75" customWidth="1"/>
    <col min="10" max="10" width="13.375" customWidth="1"/>
    <col min="11" max="12" width="12.75" customWidth="1"/>
    <col min="13" max="15" width="13" customWidth="1"/>
    <col min="16" max="16" width="12.875" customWidth="1"/>
    <col min="17" max="17" width="12.75" customWidth="1"/>
  </cols>
  <sheetData>
    <row r="1" spans="2:8" ht="18.75" x14ac:dyDescent="0.3">
      <c r="B1" s="100" t="s">
        <v>95</v>
      </c>
      <c r="C1" s="100"/>
      <c r="D1" s="100"/>
      <c r="E1" s="100"/>
      <c r="F1" s="100"/>
      <c r="G1" s="85"/>
      <c r="H1" s="85"/>
    </row>
    <row r="3" spans="2:8" x14ac:dyDescent="0.3">
      <c r="B3" s="99" t="str">
        <f>Presentacion!F20</f>
        <v>Tiempo  de recuperacion del capital  sin considerar el valor del dinero en el tiempo.</v>
      </c>
      <c r="C3" s="99"/>
      <c r="D3" s="99"/>
      <c r="E3" s="99"/>
      <c r="F3" s="99"/>
      <c r="G3" s="86"/>
      <c r="H3" s="86"/>
    </row>
    <row r="5" spans="2:8" x14ac:dyDescent="0.3">
      <c r="C5" s="116" t="s">
        <v>1</v>
      </c>
      <c r="D5" s="117" t="s">
        <v>2</v>
      </c>
      <c r="E5" s="118"/>
    </row>
    <row r="6" spans="2:8" x14ac:dyDescent="0.3">
      <c r="C6" s="116"/>
      <c r="D6" s="30" t="s">
        <v>16</v>
      </c>
      <c r="E6" s="30" t="s">
        <v>17</v>
      </c>
    </row>
    <row r="7" spans="2:8" x14ac:dyDescent="0.3">
      <c r="C7" s="27">
        <v>0</v>
      </c>
      <c r="D7" s="25">
        <f>Ej_Amber_A!C125</f>
        <v>-1500000</v>
      </c>
      <c r="E7" s="25">
        <f>Ej_Amber_A!D125</f>
        <v>-1500000</v>
      </c>
    </row>
    <row r="8" spans="2:8" x14ac:dyDescent="0.3">
      <c r="C8" s="27">
        <v>1</v>
      </c>
      <c r="D8" s="25">
        <f>Ej_Amber_A!C126</f>
        <v>280000</v>
      </c>
      <c r="E8" s="22">
        <f t="shared" ref="E8:E17" si="0">E7+D8</f>
        <v>-1220000</v>
      </c>
    </row>
    <row r="9" spans="2:8" x14ac:dyDescent="0.3">
      <c r="C9" s="27">
        <v>2</v>
      </c>
      <c r="D9" s="25">
        <f>Ej_Amber_A!C127</f>
        <v>303000</v>
      </c>
      <c r="E9" s="22">
        <f t="shared" si="0"/>
        <v>-917000</v>
      </c>
    </row>
    <row r="10" spans="2:8" x14ac:dyDescent="0.3">
      <c r="C10" s="27">
        <v>3</v>
      </c>
      <c r="D10" s="25">
        <f>Ej_Amber_A!C128</f>
        <v>326000</v>
      </c>
      <c r="E10" s="22">
        <f t="shared" si="0"/>
        <v>-591000</v>
      </c>
    </row>
    <row r="11" spans="2:8" x14ac:dyDescent="0.3">
      <c r="C11" s="27">
        <v>4</v>
      </c>
      <c r="D11" s="25">
        <f>Ej_Amber_A!C129</f>
        <v>349000</v>
      </c>
      <c r="E11" s="22">
        <f t="shared" si="0"/>
        <v>-242000</v>
      </c>
    </row>
    <row r="12" spans="2:8" x14ac:dyDescent="0.3">
      <c r="C12" s="27">
        <v>5</v>
      </c>
      <c r="D12" s="25">
        <f>Ej_Amber_A!C130</f>
        <v>372000</v>
      </c>
      <c r="E12" s="22">
        <f t="shared" si="0"/>
        <v>130000</v>
      </c>
    </row>
    <row r="13" spans="2:8" x14ac:dyDescent="0.3">
      <c r="C13" s="27">
        <v>6</v>
      </c>
      <c r="D13" s="25">
        <f>Ej_Amber_A!C131</f>
        <v>395000</v>
      </c>
      <c r="E13" s="22">
        <f t="shared" si="0"/>
        <v>525000</v>
      </c>
    </row>
    <row r="14" spans="2:8" x14ac:dyDescent="0.3">
      <c r="C14" s="27">
        <v>7</v>
      </c>
      <c r="D14" s="25">
        <f>Ej_Amber_A!C132</f>
        <v>418000</v>
      </c>
      <c r="E14" s="22">
        <f t="shared" si="0"/>
        <v>943000</v>
      </c>
    </row>
    <row r="15" spans="2:8" x14ac:dyDescent="0.3">
      <c r="C15" s="27">
        <v>8</v>
      </c>
      <c r="D15" s="25">
        <f>Ej_Amber_A!C133</f>
        <v>441000</v>
      </c>
      <c r="E15" s="22">
        <f t="shared" si="0"/>
        <v>1384000</v>
      </c>
    </row>
    <row r="16" spans="2:8" x14ac:dyDescent="0.3">
      <c r="C16" s="27">
        <v>9</v>
      </c>
      <c r="D16" s="25">
        <f>Ej_Amber_A!C134</f>
        <v>464000</v>
      </c>
      <c r="E16" s="22">
        <f t="shared" si="0"/>
        <v>1848000</v>
      </c>
    </row>
    <row r="17" spans="3:5" x14ac:dyDescent="0.3">
      <c r="C17" s="27">
        <v>10</v>
      </c>
      <c r="D17" s="25">
        <f>Ej_Amber_A!C135</f>
        <v>487000</v>
      </c>
      <c r="E17" s="22">
        <f t="shared" si="0"/>
        <v>2335000</v>
      </c>
    </row>
    <row r="19" spans="3:5" x14ac:dyDescent="0.3">
      <c r="C19" s="112"/>
      <c r="D19" s="22">
        <f>D12</f>
        <v>372000</v>
      </c>
      <c r="E19" s="51">
        <v>360</v>
      </c>
    </row>
    <row r="20" spans="3:5" x14ac:dyDescent="0.3">
      <c r="C20" s="112"/>
      <c r="D20" s="22">
        <f>ABS(E11)</f>
        <v>242000</v>
      </c>
      <c r="E20" s="60">
        <f>(E19*D20)/D19</f>
        <v>234.19354838709677</v>
      </c>
    </row>
    <row r="21" spans="3:5" x14ac:dyDescent="0.3">
      <c r="C21" s="112"/>
      <c r="D21" s="51"/>
      <c r="E21" s="61" t="s">
        <v>30</v>
      </c>
    </row>
    <row r="22" spans="3:5" ht="16.5" customHeight="1" x14ac:dyDescent="0.3">
      <c r="C22" s="113" t="s">
        <v>31</v>
      </c>
      <c r="D22" s="113"/>
      <c r="E22" s="113"/>
    </row>
    <row r="23" spans="3:5" x14ac:dyDescent="0.3">
      <c r="C23" s="113"/>
      <c r="D23" s="113"/>
      <c r="E23" s="113"/>
    </row>
    <row r="25" spans="3:5" x14ac:dyDescent="0.3">
      <c r="C25" s="116" t="s">
        <v>1</v>
      </c>
      <c r="D25" s="117" t="s">
        <v>3</v>
      </c>
      <c r="E25" s="118"/>
    </row>
    <row r="26" spans="3:5" x14ac:dyDescent="0.3">
      <c r="C26" s="116"/>
      <c r="D26" s="30" t="s">
        <v>16</v>
      </c>
      <c r="E26" s="30" t="s">
        <v>17</v>
      </c>
    </row>
    <row r="27" spans="3:5" x14ac:dyDescent="0.3">
      <c r="C27" s="27">
        <v>0</v>
      </c>
      <c r="D27" s="25">
        <f>Ej_Amber_A!E125</f>
        <v>-1900000</v>
      </c>
      <c r="E27" s="25">
        <f>Ej_Amber_A!F125</f>
        <v>-1900000</v>
      </c>
    </row>
    <row r="28" spans="3:5" x14ac:dyDescent="0.3">
      <c r="C28" s="27">
        <v>1</v>
      </c>
      <c r="D28" s="25">
        <f>Ej_Amber_A!E126</f>
        <v>300000</v>
      </c>
      <c r="E28" s="22">
        <f>E27+D28</f>
        <v>-1600000</v>
      </c>
    </row>
    <row r="29" spans="3:5" x14ac:dyDescent="0.3">
      <c r="C29" s="27">
        <v>2</v>
      </c>
      <c r="D29" s="25">
        <f>Ej_Amber_A!E127</f>
        <v>322000</v>
      </c>
      <c r="E29" s="22">
        <f t="shared" ref="E29:E36" si="1">E28+D29</f>
        <v>-1278000</v>
      </c>
    </row>
    <row r="30" spans="3:5" x14ac:dyDescent="0.3">
      <c r="C30" s="27">
        <v>3</v>
      </c>
      <c r="D30" s="25">
        <f>Ej_Amber_A!E128</f>
        <v>344000</v>
      </c>
      <c r="E30" s="22">
        <f t="shared" si="1"/>
        <v>-934000</v>
      </c>
    </row>
    <row r="31" spans="3:5" x14ac:dyDescent="0.3">
      <c r="C31" s="27">
        <v>4</v>
      </c>
      <c r="D31" s="25">
        <f>Ej_Amber_A!E129</f>
        <v>366000</v>
      </c>
      <c r="E31" s="22">
        <f t="shared" si="1"/>
        <v>-568000</v>
      </c>
    </row>
    <row r="32" spans="3:5" x14ac:dyDescent="0.3">
      <c r="C32" s="27">
        <v>5</v>
      </c>
      <c r="D32" s="25">
        <f>Ej_Amber_A!E130</f>
        <v>388000</v>
      </c>
      <c r="E32" s="22">
        <f>E31+D32</f>
        <v>-180000</v>
      </c>
    </row>
    <row r="33" spans="3:5" x14ac:dyDescent="0.3">
      <c r="C33" s="27">
        <v>6</v>
      </c>
      <c r="D33" s="25">
        <f>Ej_Amber_A!E131</f>
        <v>410000</v>
      </c>
      <c r="E33" s="22">
        <f>E32+D33</f>
        <v>230000</v>
      </c>
    </row>
    <row r="34" spans="3:5" x14ac:dyDescent="0.3">
      <c r="C34" s="27">
        <v>7</v>
      </c>
      <c r="D34" s="25">
        <f>Ej_Amber_A!E132</f>
        <v>432000</v>
      </c>
      <c r="E34" s="22">
        <f t="shared" si="1"/>
        <v>662000</v>
      </c>
    </row>
    <row r="35" spans="3:5" x14ac:dyDescent="0.3">
      <c r="C35" s="27">
        <v>8</v>
      </c>
      <c r="D35" s="25">
        <f>Ej_Amber_A!E133</f>
        <v>454000</v>
      </c>
      <c r="E35" s="22">
        <f t="shared" si="1"/>
        <v>1116000</v>
      </c>
    </row>
    <row r="36" spans="3:5" x14ac:dyDescent="0.3">
      <c r="C36" s="27">
        <v>9</v>
      </c>
      <c r="D36" s="25">
        <f>Ej_Amber_A!E134</f>
        <v>476000</v>
      </c>
      <c r="E36" s="22">
        <f t="shared" si="1"/>
        <v>1592000</v>
      </c>
    </row>
    <row r="37" spans="3:5" x14ac:dyDescent="0.3">
      <c r="C37" s="27">
        <v>10</v>
      </c>
      <c r="D37" s="25">
        <f>Ej_Amber_A!E135</f>
        <v>498000</v>
      </c>
      <c r="E37" s="22">
        <f>E36+D37</f>
        <v>2090000</v>
      </c>
    </row>
    <row r="39" spans="3:5" x14ac:dyDescent="0.3">
      <c r="D39" s="22">
        <f>D33</f>
        <v>410000</v>
      </c>
      <c r="E39" s="59">
        <v>360</v>
      </c>
    </row>
    <row r="40" spans="3:5" x14ac:dyDescent="0.3">
      <c r="D40" s="22">
        <f>ABS(E32)</f>
        <v>180000</v>
      </c>
      <c r="E40" s="60">
        <f>(D40*E39)/D39</f>
        <v>158.04878048780489</v>
      </c>
    </row>
    <row r="41" spans="3:5" x14ac:dyDescent="0.3">
      <c r="D41" s="62"/>
      <c r="E41" s="61" t="s">
        <v>57</v>
      </c>
    </row>
    <row r="42" spans="3:5" ht="16.5" customHeight="1" x14ac:dyDescent="0.3">
      <c r="C42" s="114" t="s">
        <v>58</v>
      </c>
      <c r="D42" s="114"/>
      <c r="E42" s="115"/>
    </row>
    <row r="43" spans="3:5" x14ac:dyDescent="0.3">
      <c r="C43" s="114"/>
      <c r="D43" s="114"/>
      <c r="E43" s="115"/>
    </row>
    <row r="46" spans="3:5" x14ac:dyDescent="0.3">
      <c r="C46" s="116" t="s">
        <v>1</v>
      </c>
      <c r="D46" s="117" t="s">
        <v>4</v>
      </c>
      <c r="E46" s="118"/>
    </row>
    <row r="47" spans="3:5" x14ac:dyDescent="0.3">
      <c r="C47" s="116"/>
      <c r="D47" s="30" t="s">
        <v>16</v>
      </c>
      <c r="E47" s="30" t="s">
        <v>17</v>
      </c>
    </row>
    <row r="48" spans="3:5" x14ac:dyDescent="0.3">
      <c r="C48" s="27">
        <v>0</v>
      </c>
      <c r="D48" s="25">
        <f>Ej_Amber_A!G125</f>
        <v>-600000</v>
      </c>
      <c r="E48" s="25">
        <f>Ej_Amber_A!H125</f>
        <v>-600000</v>
      </c>
    </row>
    <row r="49" spans="3:5" x14ac:dyDescent="0.3">
      <c r="C49" s="27">
        <v>1</v>
      </c>
      <c r="D49" s="25">
        <f>Ej_Amber_A!G126</f>
        <v>200000</v>
      </c>
      <c r="E49" s="22">
        <f>E48+D49</f>
        <v>-400000</v>
      </c>
    </row>
    <row r="50" spans="3:5" x14ac:dyDescent="0.3">
      <c r="C50" s="27">
        <v>2</v>
      </c>
      <c r="D50" s="25">
        <f>Ej_Amber_A!G127</f>
        <v>200000</v>
      </c>
      <c r="E50" s="22">
        <f t="shared" ref="E50:E53" si="2">E49+D50</f>
        <v>-200000</v>
      </c>
    </row>
    <row r="51" spans="3:5" x14ac:dyDescent="0.3">
      <c r="C51" s="27">
        <v>3</v>
      </c>
      <c r="D51" s="25">
        <f>Ej_Amber_A!G128</f>
        <v>200000</v>
      </c>
      <c r="E51" s="22">
        <f t="shared" si="2"/>
        <v>0</v>
      </c>
    </row>
    <row r="52" spans="3:5" x14ac:dyDescent="0.3">
      <c r="C52" s="27">
        <v>4</v>
      </c>
      <c r="D52" s="25">
        <f>Ej_Amber_A!G129</f>
        <v>200000</v>
      </c>
      <c r="E52" s="22">
        <f t="shared" si="2"/>
        <v>200000</v>
      </c>
    </row>
    <row r="53" spans="3:5" x14ac:dyDescent="0.3">
      <c r="C53" s="27">
        <v>5</v>
      </c>
      <c r="D53" s="25">
        <f>Ej_Amber_A!G130</f>
        <v>200000</v>
      </c>
      <c r="E53" s="22">
        <f t="shared" si="2"/>
        <v>400000</v>
      </c>
    </row>
    <row r="55" spans="3:5" x14ac:dyDescent="0.3">
      <c r="D55" s="22">
        <f>D51</f>
        <v>200000</v>
      </c>
      <c r="E55" s="51">
        <v>360</v>
      </c>
    </row>
    <row r="56" spans="3:5" x14ac:dyDescent="0.3">
      <c r="D56" s="22">
        <f>ABS(E50)</f>
        <v>200000</v>
      </c>
      <c r="E56" s="51">
        <f>(D56*E55)/D55</f>
        <v>360</v>
      </c>
    </row>
    <row r="57" spans="3:5" x14ac:dyDescent="0.3">
      <c r="D57" s="62"/>
      <c r="E57" s="61" t="s">
        <v>60</v>
      </c>
    </row>
    <row r="58" spans="3:5" ht="16.5" customHeight="1" x14ac:dyDescent="0.3">
      <c r="C58" s="114" t="s">
        <v>32</v>
      </c>
      <c r="D58" s="114"/>
      <c r="E58" s="115"/>
    </row>
    <row r="59" spans="3:5" x14ac:dyDescent="0.3">
      <c r="C59" s="114"/>
      <c r="D59" s="114"/>
      <c r="E59" s="115"/>
    </row>
    <row r="62" spans="3:5" x14ac:dyDescent="0.3">
      <c r="C62" s="116" t="s">
        <v>1</v>
      </c>
      <c r="D62" s="117" t="s">
        <v>5</v>
      </c>
      <c r="E62" s="118"/>
    </row>
    <row r="63" spans="3:5" x14ac:dyDescent="0.3">
      <c r="C63" s="116"/>
      <c r="D63" s="30" t="s">
        <v>16</v>
      </c>
      <c r="E63" s="30" t="s">
        <v>17</v>
      </c>
    </row>
    <row r="64" spans="3:5" x14ac:dyDescent="0.3">
      <c r="C64" s="27">
        <v>0</v>
      </c>
      <c r="D64" s="25">
        <f>Ej_Amber_A!I125</f>
        <v>-500000</v>
      </c>
      <c r="E64" s="25">
        <f>Ej_Amber_A!J125</f>
        <v>-500000</v>
      </c>
    </row>
    <row r="65" spans="3:5" x14ac:dyDescent="0.3">
      <c r="C65" s="27">
        <v>1</v>
      </c>
      <c r="D65" s="25">
        <f>Ej_Amber_A!I126</f>
        <v>350000</v>
      </c>
      <c r="E65" s="22">
        <f>E64+D65</f>
        <v>-150000</v>
      </c>
    </row>
    <row r="66" spans="3:5" x14ac:dyDescent="0.3">
      <c r="C66" s="27">
        <v>2</v>
      </c>
      <c r="D66" s="25">
        <f>Ej_Amber_A!I127</f>
        <v>300000</v>
      </c>
      <c r="E66" s="22">
        <f t="shared" ref="E66" si="3">E65+D66</f>
        <v>150000</v>
      </c>
    </row>
    <row r="68" spans="3:5" x14ac:dyDescent="0.3">
      <c r="D68" s="22">
        <f>D66</f>
        <v>300000</v>
      </c>
      <c r="E68" s="51">
        <v>360</v>
      </c>
    </row>
    <row r="69" spans="3:5" x14ac:dyDescent="0.3">
      <c r="D69" s="22">
        <f>E66</f>
        <v>150000</v>
      </c>
      <c r="E69" s="51">
        <f>(D69*E68)/D68</f>
        <v>180</v>
      </c>
    </row>
    <row r="70" spans="3:5" x14ac:dyDescent="0.3">
      <c r="D70" s="62"/>
      <c r="E70" s="61" t="s">
        <v>59</v>
      </c>
    </row>
    <row r="71" spans="3:5" ht="16.5" customHeight="1" x14ac:dyDescent="0.3">
      <c r="C71" s="114" t="s">
        <v>61</v>
      </c>
      <c r="D71" s="114"/>
      <c r="E71" s="115"/>
    </row>
    <row r="72" spans="3:5" x14ac:dyDescent="0.3">
      <c r="C72" s="114"/>
      <c r="D72" s="114"/>
      <c r="E72" s="115"/>
    </row>
    <row r="75" spans="3:5" x14ac:dyDescent="0.3">
      <c r="C75" s="116" t="s">
        <v>1</v>
      </c>
      <c r="D75" s="117" t="s">
        <v>6</v>
      </c>
      <c r="E75" s="118"/>
    </row>
    <row r="76" spans="3:5" x14ac:dyDescent="0.3">
      <c r="C76" s="116"/>
      <c r="D76" s="30" t="s">
        <v>16</v>
      </c>
      <c r="E76" s="30" t="s">
        <v>17</v>
      </c>
    </row>
    <row r="77" spans="3:5" x14ac:dyDescent="0.3">
      <c r="C77" s="27">
        <v>0</v>
      </c>
      <c r="D77" s="25">
        <f>Ej_Amber_A!K125</f>
        <v>-900000</v>
      </c>
      <c r="E77" s="25">
        <f>Ej_Amber_A!L125</f>
        <v>-900000</v>
      </c>
    </row>
    <row r="78" spans="3:5" x14ac:dyDescent="0.3">
      <c r="C78" s="27">
        <v>1</v>
      </c>
      <c r="D78" s="25">
        <f>Ej_Amber_A!K126</f>
        <v>200000</v>
      </c>
      <c r="E78" s="22">
        <f>E77+D78</f>
        <v>-700000</v>
      </c>
    </row>
    <row r="79" spans="3:5" x14ac:dyDescent="0.3">
      <c r="C79" s="27">
        <v>2</v>
      </c>
      <c r="D79" s="25">
        <f>Ej_Amber_A!K127</f>
        <v>250000</v>
      </c>
      <c r="E79" s="22">
        <f t="shared" ref="E79:E82" si="4">E78+D79</f>
        <v>-450000</v>
      </c>
    </row>
    <row r="80" spans="3:5" x14ac:dyDescent="0.3">
      <c r="C80" s="27">
        <v>3</v>
      </c>
      <c r="D80" s="25">
        <f>Ej_Amber_A!K128</f>
        <v>300000</v>
      </c>
      <c r="E80" s="22">
        <f t="shared" si="4"/>
        <v>-150000</v>
      </c>
    </row>
    <row r="81" spans="3:5" x14ac:dyDescent="0.3">
      <c r="C81" s="27">
        <v>4</v>
      </c>
      <c r="D81" s="25">
        <f>Ej_Amber_A!K129</f>
        <v>350000</v>
      </c>
      <c r="E81" s="22">
        <f t="shared" si="4"/>
        <v>200000</v>
      </c>
    </row>
    <row r="82" spans="3:5" x14ac:dyDescent="0.3">
      <c r="C82" s="27">
        <v>5</v>
      </c>
      <c r="D82" s="25">
        <f>Ej_Amber_A!K130</f>
        <v>400000</v>
      </c>
      <c r="E82" s="22">
        <f t="shared" si="4"/>
        <v>600000</v>
      </c>
    </row>
    <row r="84" spans="3:5" x14ac:dyDescent="0.3">
      <c r="D84" s="22">
        <f>D81</f>
        <v>350000</v>
      </c>
      <c r="E84" s="51">
        <v>360</v>
      </c>
    </row>
    <row r="85" spans="3:5" x14ac:dyDescent="0.3">
      <c r="D85" s="22">
        <f>ABS(E80)</f>
        <v>150000</v>
      </c>
      <c r="E85" s="60">
        <f>(D85*E84)/D84</f>
        <v>154.28571428571428</v>
      </c>
    </row>
    <row r="86" spans="3:5" x14ac:dyDescent="0.3">
      <c r="D86" s="62"/>
      <c r="E86" s="61" t="s">
        <v>33</v>
      </c>
    </row>
    <row r="87" spans="3:5" ht="16.5" customHeight="1" x14ac:dyDescent="0.3">
      <c r="C87" s="114" t="s">
        <v>97</v>
      </c>
      <c r="D87" s="114"/>
      <c r="E87" s="115"/>
    </row>
    <row r="88" spans="3:5" x14ac:dyDescent="0.3">
      <c r="C88" s="114"/>
      <c r="D88" s="114"/>
      <c r="E88" s="115"/>
    </row>
  </sheetData>
  <mergeCells count="18">
    <mergeCell ref="C87:E88"/>
    <mergeCell ref="C25:C26"/>
    <mergeCell ref="C46:C47"/>
    <mergeCell ref="C62:C63"/>
    <mergeCell ref="C75:C76"/>
    <mergeCell ref="D25:E25"/>
    <mergeCell ref="D46:E46"/>
    <mergeCell ref="D62:E62"/>
    <mergeCell ref="D75:E75"/>
    <mergeCell ref="C42:E43"/>
    <mergeCell ref="C19:C21"/>
    <mergeCell ref="C22:E23"/>
    <mergeCell ref="B3:F3"/>
    <mergeCell ref="B1:F1"/>
    <mergeCell ref="C71:E72"/>
    <mergeCell ref="C58:E59"/>
    <mergeCell ref="C5:C6"/>
    <mergeCell ref="D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G82"/>
  <sheetViews>
    <sheetView showGridLines="0" showRowColHeaders="0" zoomScale="115" zoomScaleNormal="115" workbookViewId="0">
      <selection activeCell="C5" sqref="C5:C6"/>
    </sheetView>
  </sheetViews>
  <sheetFormatPr baseColWidth="10" defaultRowHeight="16.5" x14ac:dyDescent="0.3"/>
  <cols>
    <col min="1" max="1" width="32" customWidth="1"/>
    <col min="2" max="2" width="12" customWidth="1"/>
    <col min="3" max="3" width="11.375" customWidth="1"/>
    <col min="4" max="4" width="19.25" customWidth="1"/>
    <col min="5" max="5" width="19.125" customWidth="1"/>
    <col min="6" max="6" width="22.125" customWidth="1"/>
    <col min="8" max="8" width="15.75" customWidth="1"/>
    <col min="9" max="9" width="15.25" customWidth="1"/>
    <col min="10" max="10" width="14.75" customWidth="1"/>
    <col min="12" max="12" width="13.75" customWidth="1"/>
    <col min="13" max="13" width="13.875" customWidth="1"/>
    <col min="14" max="14" width="13.5" customWidth="1"/>
    <col min="16" max="16" width="13.875" customWidth="1"/>
    <col min="17" max="17" width="13.625" customWidth="1"/>
    <col min="18" max="18" width="14" customWidth="1"/>
    <col min="20" max="20" width="15.875" customWidth="1"/>
    <col min="21" max="21" width="13.375" customWidth="1"/>
    <col min="22" max="22" width="15" customWidth="1"/>
  </cols>
  <sheetData>
    <row r="1" spans="2:7" ht="18.75" x14ac:dyDescent="0.3">
      <c r="B1" s="100" t="s">
        <v>95</v>
      </c>
      <c r="C1" s="100"/>
      <c r="D1" s="100"/>
      <c r="E1" s="100"/>
      <c r="F1" s="100"/>
      <c r="G1" s="100"/>
    </row>
    <row r="3" spans="2:7" x14ac:dyDescent="0.3">
      <c r="B3" s="99" t="str">
        <f>Presentacion!F22</f>
        <v>Tiempo  de recuperacion del capital  considerando el valor del dinero en el tiempo.</v>
      </c>
      <c r="C3" s="99"/>
      <c r="D3" s="99"/>
      <c r="E3" s="99"/>
      <c r="F3" s="99"/>
      <c r="G3" s="99"/>
    </row>
    <row r="5" spans="2:7" x14ac:dyDescent="0.3">
      <c r="C5" s="116" t="s">
        <v>1</v>
      </c>
      <c r="D5" s="117" t="s">
        <v>2</v>
      </c>
      <c r="E5" s="119"/>
      <c r="F5" s="119"/>
    </row>
    <row r="6" spans="2:7" ht="28.5" x14ac:dyDescent="0.3">
      <c r="C6" s="116"/>
      <c r="D6" s="31" t="s">
        <v>16</v>
      </c>
      <c r="E6" s="32" t="s">
        <v>34</v>
      </c>
      <c r="F6" s="31" t="s">
        <v>17</v>
      </c>
    </row>
    <row r="7" spans="2:7" x14ac:dyDescent="0.3">
      <c r="C7" s="27">
        <v>0</v>
      </c>
      <c r="D7" s="25">
        <f>Ej_Amber_A!C149</f>
        <v>-1500000</v>
      </c>
      <c r="E7" s="25">
        <f>Ej_Amber_A!D149</f>
        <v>-1500000</v>
      </c>
      <c r="F7" s="25">
        <f>Ej_Amber_A!E149</f>
        <v>-1500000</v>
      </c>
    </row>
    <row r="8" spans="2:7" x14ac:dyDescent="0.3">
      <c r="C8" s="27">
        <v>1</v>
      </c>
      <c r="D8" s="25">
        <f>Ej_Amber_A!C150</f>
        <v>280000</v>
      </c>
      <c r="E8" s="22">
        <f>D8/POWER(1.19,1)</f>
        <v>235294.11764705883</v>
      </c>
      <c r="F8" s="26">
        <f t="shared" ref="F8:F17" si="0">F7+E8</f>
        <v>-1264705.8823529412</v>
      </c>
    </row>
    <row r="9" spans="2:7" x14ac:dyDescent="0.3">
      <c r="C9" s="27">
        <v>2</v>
      </c>
      <c r="D9" s="25">
        <f>Ej_Amber_A!C151</f>
        <v>303000</v>
      </c>
      <c r="E9" s="22">
        <f>D9/POWER(1.19,2)</f>
        <v>213967.94011722336</v>
      </c>
      <c r="F9" s="26">
        <f t="shared" si="0"/>
        <v>-1050737.9422357178</v>
      </c>
    </row>
    <row r="10" spans="2:7" x14ac:dyDescent="0.3">
      <c r="C10" s="27">
        <v>3</v>
      </c>
      <c r="D10" s="25">
        <f>Ej_Amber_A!C152</f>
        <v>326000</v>
      </c>
      <c r="E10" s="22">
        <f>D10/POWER(1.19,3)</f>
        <v>193453.55542117986</v>
      </c>
      <c r="F10" s="26">
        <f t="shared" si="0"/>
        <v>-857284.38681453792</v>
      </c>
    </row>
    <row r="11" spans="2:7" x14ac:dyDescent="0.3">
      <c r="C11" s="27">
        <v>4</v>
      </c>
      <c r="D11" s="25">
        <f>Ej_Amber_A!C153</f>
        <v>349000</v>
      </c>
      <c r="E11" s="22">
        <f>D11/POWER(1.19,4)</f>
        <v>174035.39424135632</v>
      </c>
      <c r="F11" s="26">
        <f t="shared" si="0"/>
        <v>-683248.99257318163</v>
      </c>
    </row>
    <row r="12" spans="2:7" x14ac:dyDescent="0.3">
      <c r="C12" s="27">
        <v>5</v>
      </c>
      <c r="D12" s="25">
        <f>Ej_Amber_A!C154</f>
        <v>372000</v>
      </c>
      <c r="E12" s="22">
        <f>D12/POWER(1.19,5)</f>
        <v>155886.36598633442</v>
      </c>
      <c r="F12" s="26">
        <f t="shared" si="0"/>
        <v>-527362.62658684724</v>
      </c>
    </row>
    <row r="13" spans="2:7" x14ac:dyDescent="0.3">
      <c r="C13" s="27">
        <v>6</v>
      </c>
      <c r="D13" s="25">
        <f>Ej_Amber_A!C155</f>
        <v>395000</v>
      </c>
      <c r="E13" s="22">
        <f>D13/POWER(1.19,6)</f>
        <v>139096.2197628131</v>
      </c>
      <c r="F13" s="26">
        <f t="shared" si="0"/>
        <v>-388266.40682403417</v>
      </c>
    </row>
    <row r="14" spans="2:7" x14ac:dyDescent="0.3">
      <c r="C14" s="27">
        <v>7</v>
      </c>
      <c r="D14" s="25">
        <f>Ej_Amber_A!C156</f>
        <v>418000</v>
      </c>
      <c r="E14" s="22">
        <f>D14/POWER(1.19,7)</f>
        <v>123693.69186438863</v>
      </c>
      <c r="F14" s="26">
        <f t="shared" si="0"/>
        <v>-264572.71495964553</v>
      </c>
    </row>
    <row r="15" spans="2:7" x14ac:dyDescent="0.3">
      <c r="C15" s="27">
        <v>8</v>
      </c>
      <c r="D15" s="25">
        <f>Ej_Amber_A!C157</f>
        <v>441000</v>
      </c>
      <c r="E15" s="22">
        <f>D15/POWER(1.19,8)</f>
        <v>109663.70092114387</v>
      </c>
      <c r="F15" s="26">
        <f t="shared" si="0"/>
        <v>-154909.01403850166</v>
      </c>
    </row>
    <row r="16" spans="2:7" x14ac:dyDescent="0.3">
      <c r="C16" s="27">
        <v>9</v>
      </c>
      <c r="D16" s="25">
        <f>Ej_Amber_A!C158</f>
        <v>464000</v>
      </c>
      <c r="E16" s="22">
        <f>D16/POWER(1.19,9)</f>
        <v>96960.607533319533</v>
      </c>
      <c r="F16" s="26">
        <f t="shared" si="0"/>
        <v>-57948.406505182124</v>
      </c>
    </row>
    <row r="17" spans="3:6" x14ac:dyDescent="0.3">
      <c r="C17" s="27">
        <v>10</v>
      </c>
      <c r="D17" s="25">
        <f>Ej_Amber_A!C159</f>
        <v>487000</v>
      </c>
      <c r="E17" s="22">
        <f>D17/POWER(1.19,10)</f>
        <v>85518.356760226408</v>
      </c>
      <c r="F17" s="26">
        <f t="shared" si="0"/>
        <v>27569.950255044285</v>
      </c>
    </row>
    <row r="19" spans="3:6" x14ac:dyDescent="0.3">
      <c r="E19" s="22">
        <f>E17</f>
        <v>85518.356760226408</v>
      </c>
      <c r="F19" s="51">
        <v>360</v>
      </c>
    </row>
    <row r="20" spans="3:6" x14ac:dyDescent="0.3">
      <c r="E20" s="22">
        <f>ABS(F16)</f>
        <v>57948.406505182124</v>
      </c>
      <c r="F20" s="60">
        <f>(F19*E20)/E19</f>
        <v>243.94091668945597</v>
      </c>
    </row>
    <row r="21" spans="3:6" x14ac:dyDescent="0.3">
      <c r="E21" s="51"/>
      <c r="F21" s="61" t="s">
        <v>35</v>
      </c>
    </row>
    <row r="22" spans="3:6" ht="16.5" customHeight="1" x14ac:dyDescent="0.3">
      <c r="C22" s="114" t="s">
        <v>36</v>
      </c>
      <c r="D22" s="114"/>
      <c r="E22" s="114"/>
      <c r="F22" s="115"/>
    </row>
    <row r="23" spans="3:6" x14ac:dyDescent="0.3">
      <c r="C23" s="114"/>
      <c r="D23" s="114"/>
      <c r="E23" s="114"/>
      <c r="F23" s="115"/>
    </row>
    <row r="25" spans="3:6" x14ac:dyDescent="0.3">
      <c r="C25" s="116" t="s">
        <v>1</v>
      </c>
      <c r="D25" s="117" t="s">
        <v>3</v>
      </c>
      <c r="E25" s="119"/>
      <c r="F25" s="119"/>
    </row>
    <row r="26" spans="3:6" ht="28.5" x14ac:dyDescent="0.3">
      <c r="C26" s="116"/>
      <c r="D26" s="31" t="s">
        <v>16</v>
      </c>
      <c r="E26" s="32" t="s">
        <v>34</v>
      </c>
      <c r="F26" s="31" t="s">
        <v>17</v>
      </c>
    </row>
    <row r="27" spans="3:6" x14ac:dyDescent="0.3">
      <c r="C27" s="27">
        <v>0</v>
      </c>
      <c r="D27" s="25">
        <f>Ej_Amber_A!F149</f>
        <v>-1900000</v>
      </c>
      <c r="E27" s="25">
        <f>Ej_Amber_A!G149</f>
        <v>-1900000</v>
      </c>
      <c r="F27" s="25">
        <f>Ej_Amber_A!H149</f>
        <v>-1900000</v>
      </c>
    </row>
    <row r="28" spans="3:6" x14ac:dyDescent="0.3">
      <c r="C28" s="27">
        <v>1</v>
      </c>
      <c r="D28" s="25">
        <f>Ej_Amber_A!F150</f>
        <v>300000</v>
      </c>
      <c r="E28" s="22">
        <f>D28/POWER(1.19,1)</f>
        <v>252100.84033613445</v>
      </c>
      <c r="F28" s="26">
        <f t="shared" ref="F28:F37" si="1">F27+E28</f>
        <v>-1647899.1596638656</v>
      </c>
    </row>
    <row r="29" spans="3:6" x14ac:dyDescent="0.3">
      <c r="C29" s="27">
        <v>2</v>
      </c>
      <c r="D29" s="25">
        <f>Ej_Amber_A!F151</f>
        <v>322000</v>
      </c>
      <c r="E29" s="22">
        <f>D29/POWER(1.19,2)</f>
        <v>227385.07167572912</v>
      </c>
      <c r="F29" s="26">
        <f t="shared" si="1"/>
        <v>-1420514.0879881363</v>
      </c>
    </row>
    <row r="30" spans="3:6" x14ac:dyDescent="0.3">
      <c r="C30" s="27">
        <v>3</v>
      </c>
      <c r="D30" s="25">
        <f>Ej_Amber_A!F152</f>
        <v>344000</v>
      </c>
      <c r="E30" s="22">
        <f>D30/POWER(1.19,3)</f>
        <v>204135.04007633703</v>
      </c>
      <c r="F30" s="26">
        <f t="shared" si="1"/>
        <v>-1216379.0479117993</v>
      </c>
    </row>
    <row r="31" spans="3:6" x14ac:dyDescent="0.3">
      <c r="C31" s="27">
        <v>4</v>
      </c>
      <c r="D31" s="25">
        <f>Ej_Amber_A!F153</f>
        <v>366000</v>
      </c>
      <c r="E31" s="22">
        <f>D31/POWER(1.19,4)</f>
        <v>182512.76301529058</v>
      </c>
      <c r="F31" s="26">
        <f t="shared" si="1"/>
        <v>-1033866.2848965087</v>
      </c>
    </row>
    <row r="32" spans="3:6" x14ac:dyDescent="0.3">
      <c r="C32" s="27">
        <v>5</v>
      </c>
      <c r="D32" s="25">
        <f>Ej_Amber_A!F154</f>
        <v>388000</v>
      </c>
      <c r="E32" s="22">
        <f>D32/POWER(1.19,5)</f>
        <v>162591.15592123053</v>
      </c>
      <c r="F32" s="26">
        <f t="shared" si="1"/>
        <v>-871275.12897527812</v>
      </c>
    </row>
    <row r="33" spans="3:6" x14ac:dyDescent="0.3">
      <c r="C33" s="27">
        <v>6</v>
      </c>
      <c r="D33" s="25">
        <f>Ej_Amber_A!F155</f>
        <v>410000</v>
      </c>
      <c r="E33" s="22">
        <f>D33/POWER(1.19,6)</f>
        <v>144378.35469051488</v>
      </c>
      <c r="F33" s="26">
        <f t="shared" si="1"/>
        <v>-726896.77428476326</v>
      </c>
    </row>
    <row r="34" spans="3:6" x14ac:dyDescent="0.3">
      <c r="C34" s="27">
        <v>7</v>
      </c>
      <c r="D34" s="25">
        <f>Ej_Amber_A!F156</f>
        <v>432000</v>
      </c>
      <c r="E34" s="22">
        <f>D34/POWER(1.19,7)</f>
        <v>127836.54278807629</v>
      </c>
      <c r="F34" s="26">
        <f t="shared" si="1"/>
        <v>-599060.23149668693</v>
      </c>
    </row>
    <row r="35" spans="3:6" x14ac:dyDescent="0.3">
      <c r="C35" s="27">
        <v>8</v>
      </c>
      <c r="D35" s="25">
        <f>Ej_Amber_A!F157</f>
        <v>454000</v>
      </c>
      <c r="E35" s="22">
        <f>D35/POWER(1.19,8)</f>
        <v>112896.41772834312</v>
      </c>
      <c r="F35" s="26">
        <f t="shared" si="1"/>
        <v>-486163.81376834383</v>
      </c>
    </row>
    <row r="36" spans="3:6" x14ac:dyDescent="0.3">
      <c r="C36" s="27">
        <v>9</v>
      </c>
      <c r="D36" s="25">
        <f>Ej_Amber_A!F158</f>
        <v>476000</v>
      </c>
      <c r="E36" s="22">
        <f>D36/POWER(1.19,9)</f>
        <v>99468.209452284689</v>
      </c>
      <c r="F36" s="26">
        <f t="shared" si="1"/>
        <v>-386695.60431605915</v>
      </c>
    </row>
    <row r="37" spans="3:6" x14ac:dyDescent="0.3">
      <c r="C37" s="27">
        <v>10</v>
      </c>
      <c r="D37" s="25">
        <f>Ej_Amber_A!F159</f>
        <v>498000</v>
      </c>
      <c r="E37" s="22">
        <f>D37/POWER(1.19,10)</f>
        <v>87449.982888280792</v>
      </c>
      <c r="F37" s="26">
        <f t="shared" si="1"/>
        <v>-299245.62142777839</v>
      </c>
    </row>
    <row r="38" spans="3:6" x14ac:dyDescent="0.3">
      <c r="F38" s="29"/>
    </row>
    <row r="39" spans="3:6" ht="16.5" customHeight="1" x14ac:dyDescent="0.3">
      <c r="C39" s="114" t="s">
        <v>37</v>
      </c>
      <c r="D39" s="114"/>
      <c r="E39" s="114"/>
      <c r="F39" s="115"/>
    </row>
    <row r="40" spans="3:6" x14ac:dyDescent="0.3">
      <c r="C40" s="114"/>
      <c r="D40" s="114"/>
      <c r="E40" s="114"/>
      <c r="F40" s="115"/>
    </row>
    <row r="43" spans="3:6" x14ac:dyDescent="0.3">
      <c r="C43" s="116" t="s">
        <v>1</v>
      </c>
      <c r="D43" s="117" t="s">
        <v>4</v>
      </c>
      <c r="E43" s="119"/>
      <c r="F43" s="119"/>
    </row>
    <row r="44" spans="3:6" ht="28.5" x14ac:dyDescent="0.3">
      <c r="C44" s="116"/>
      <c r="D44" s="31" t="s">
        <v>16</v>
      </c>
      <c r="E44" s="32" t="s">
        <v>34</v>
      </c>
      <c r="F44" s="31" t="s">
        <v>17</v>
      </c>
    </row>
    <row r="45" spans="3:6" x14ac:dyDescent="0.3">
      <c r="C45" s="27">
        <v>0</v>
      </c>
      <c r="D45" s="25">
        <f>Ej_Amber_A!I149</f>
        <v>-600000</v>
      </c>
      <c r="E45" s="25">
        <f>Ej_Amber_A!J149</f>
        <v>-600000</v>
      </c>
      <c r="F45" s="25">
        <f>Ej_Amber_A!K149</f>
        <v>-600000</v>
      </c>
    </row>
    <row r="46" spans="3:6" x14ac:dyDescent="0.3">
      <c r="C46" s="27">
        <v>1</v>
      </c>
      <c r="D46" s="25">
        <f>Ej_Amber_A!I150</f>
        <v>200000</v>
      </c>
      <c r="E46" s="22">
        <f>D46/POWER(1.19,1)</f>
        <v>168067.22689075631</v>
      </c>
      <c r="F46" s="26">
        <f t="shared" ref="F46:F50" si="2">F45+E46</f>
        <v>-431932.77310924372</v>
      </c>
    </row>
    <row r="47" spans="3:6" x14ac:dyDescent="0.3">
      <c r="C47" s="27">
        <v>2</v>
      </c>
      <c r="D47" s="25">
        <f>Ej_Amber_A!I151</f>
        <v>200000</v>
      </c>
      <c r="E47" s="22">
        <f>D47/POWER(1.19,2)</f>
        <v>141232.96377374479</v>
      </c>
      <c r="F47" s="26">
        <f t="shared" si="2"/>
        <v>-290699.80933549895</v>
      </c>
    </row>
    <row r="48" spans="3:6" x14ac:dyDescent="0.3">
      <c r="C48" s="27">
        <v>3</v>
      </c>
      <c r="D48" s="25">
        <f>Ej_Amber_A!I152</f>
        <v>200000</v>
      </c>
      <c r="E48" s="22">
        <f>D48/POWER(1.19,3)</f>
        <v>118683.16283507967</v>
      </c>
      <c r="F48" s="26">
        <f t="shared" si="2"/>
        <v>-172016.6465004193</v>
      </c>
    </row>
    <row r="49" spans="3:6" x14ac:dyDescent="0.3">
      <c r="C49" s="27">
        <v>4</v>
      </c>
      <c r="D49" s="25">
        <f>Ej_Amber_A!I153</f>
        <v>200000</v>
      </c>
      <c r="E49" s="22">
        <f>D49/POWER(1.19,4)</f>
        <v>99733.75028157956</v>
      </c>
      <c r="F49" s="26">
        <f t="shared" si="2"/>
        <v>-72282.896218839742</v>
      </c>
    </row>
    <row r="50" spans="3:6" x14ac:dyDescent="0.3">
      <c r="C50" s="27">
        <v>5</v>
      </c>
      <c r="D50" s="25">
        <f>Ej_Amber_A!I154</f>
        <v>200000</v>
      </c>
      <c r="E50" s="22">
        <f>D50/POWER(1.19,5)</f>
        <v>83809.874186201312</v>
      </c>
      <c r="F50" s="26">
        <f t="shared" si="2"/>
        <v>11526.97796736157</v>
      </c>
    </row>
    <row r="52" spans="3:6" x14ac:dyDescent="0.3">
      <c r="E52" s="22">
        <f>E50</f>
        <v>83809.874186201312</v>
      </c>
      <c r="F52" s="51">
        <v>360</v>
      </c>
    </row>
    <row r="53" spans="3:6" x14ac:dyDescent="0.3">
      <c r="E53" s="22">
        <f>ABS(F49)</f>
        <v>72282.896218839742</v>
      </c>
      <c r="F53" s="60">
        <f>(F52*E53)/E52</f>
        <v>310.48659709200012</v>
      </c>
    </row>
    <row r="54" spans="3:6" x14ac:dyDescent="0.3">
      <c r="E54" s="51"/>
      <c r="F54" s="61" t="s">
        <v>62</v>
      </c>
    </row>
    <row r="55" spans="3:6" ht="16.5" customHeight="1" x14ac:dyDescent="0.3">
      <c r="C55" s="114" t="s">
        <v>63</v>
      </c>
      <c r="D55" s="114"/>
      <c r="E55" s="114"/>
      <c r="F55" s="115"/>
    </row>
    <row r="56" spans="3:6" x14ac:dyDescent="0.3">
      <c r="C56" s="114"/>
      <c r="D56" s="114"/>
      <c r="E56" s="114"/>
      <c r="F56" s="115"/>
    </row>
    <row r="59" spans="3:6" x14ac:dyDescent="0.3">
      <c r="C59" s="116" t="s">
        <v>1</v>
      </c>
      <c r="D59" s="117" t="s">
        <v>5</v>
      </c>
      <c r="E59" s="119"/>
      <c r="F59" s="119"/>
    </row>
    <row r="60" spans="3:6" ht="28.5" x14ac:dyDescent="0.3">
      <c r="C60" s="116"/>
      <c r="D60" s="31" t="s">
        <v>16</v>
      </c>
      <c r="E60" s="32" t="s">
        <v>34</v>
      </c>
      <c r="F60" s="31" t="s">
        <v>17</v>
      </c>
    </row>
    <row r="61" spans="3:6" x14ac:dyDescent="0.3">
      <c r="C61" s="27">
        <v>0</v>
      </c>
      <c r="D61" s="25">
        <f>Ej_Amber_A!L149</f>
        <v>-500000</v>
      </c>
      <c r="E61" s="25">
        <f>Ej_Amber_A!M149</f>
        <v>-500000</v>
      </c>
      <c r="F61" s="25">
        <f>Ej_Amber_A!N149</f>
        <v>-500000</v>
      </c>
    </row>
    <row r="62" spans="3:6" x14ac:dyDescent="0.3">
      <c r="C62" s="27">
        <v>1</v>
      </c>
      <c r="D62" s="25">
        <f>Ej_Amber_A!L150</f>
        <v>350000</v>
      </c>
      <c r="E62" s="22">
        <f>D62/POWER(1.19,1)</f>
        <v>294117.64705882355</v>
      </c>
      <c r="F62" s="26">
        <f t="shared" ref="F62:F63" si="3">F61+E62</f>
        <v>-205882.35294117645</v>
      </c>
    </row>
    <row r="63" spans="3:6" x14ac:dyDescent="0.3">
      <c r="C63" s="27">
        <v>2</v>
      </c>
      <c r="D63" s="25">
        <f>Ej_Amber_A!L151</f>
        <v>300000</v>
      </c>
      <c r="E63" s="22">
        <f>D63/POWER(1.19,2)</f>
        <v>211849.4456606172</v>
      </c>
      <c r="F63" s="26">
        <f t="shared" si="3"/>
        <v>5967.0927194407559</v>
      </c>
    </row>
    <row r="65" spans="3:6" x14ac:dyDescent="0.3">
      <c r="E65" s="22">
        <f>E63</f>
        <v>211849.4456606172</v>
      </c>
      <c r="F65" s="51">
        <v>360</v>
      </c>
    </row>
    <row r="66" spans="3:6" x14ac:dyDescent="0.3">
      <c r="E66" s="22">
        <f>ABS(F62)</f>
        <v>205882.35294117645</v>
      </c>
      <c r="F66" s="60">
        <f>(F65*E66)/E65</f>
        <v>349.85999999999996</v>
      </c>
    </row>
    <row r="67" spans="3:6" x14ac:dyDescent="0.3">
      <c r="E67" s="51"/>
      <c r="F67" s="61" t="s">
        <v>64</v>
      </c>
    </row>
    <row r="68" spans="3:6" ht="16.5" customHeight="1" x14ac:dyDescent="0.3">
      <c r="C68" s="114" t="s">
        <v>120</v>
      </c>
      <c r="D68" s="114"/>
      <c r="E68" s="114"/>
      <c r="F68" s="115"/>
    </row>
    <row r="69" spans="3:6" x14ac:dyDescent="0.3">
      <c r="C69" s="114"/>
      <c r="D69" s="114"/>
      <c r="E69" s="114"/>
      <c r="F69" s="115"/>
    </row>
    <row r="72" spans="3:6" x14ac:dyDescent="0.3">
      <c r="C72" s="116" t="s">
        <v>1</v>
      </c>
      <c r="D72" s="117" t="s">
        <v>6</v>
      </c>
      <c r="E72" s="119"/>
      <c r="F72" s="119"/>
    </row>
    <row r="73" spans="3:6" ht="28.5" x14ac:dyDescent="0.3">
      <c r="C73" s="116"/>
      <c r="D73" s="31" t="s">
        <v>16</v>
      </c>
      <c r="E73" s="32" t="s">
        <v>34</v>
      </c>
      <c r="F73" s="31" t="s">
        <v>17</v>
      </c>
    </row>
    <row r="74" spans="3:6" x14ac:dyDescent="0.3">
      <c r="C74" s="27">
        <v>0</v>
      </c>
      <c r="D74" s="25">
        <f>Ej_Amber_A!O149</f>
        <v>-900000</v>
      </c>
      <c r="E74" s="25">
        <f>Ej_Amber_A!P149</f>
        <v>-900000</v>
      </c>
      <c r="F74" s="25">
        <f>Ej_Amber_A!Q149</f>
        <v>-900000</v>
      </c>
    </row>
    <row r="75" spans="3:6" x14ac:dyDescent="0.3">
      <c r="C75" s="27">
        <v>1</v>
      </c>
      <c r="D75" s="25">
        <f>Ej_Amber_A!O150</f>
        <v>200000</v>
      </c>
      <c r="E75" s="22">
        <f>D75/POWER(1.19,1)</f>
        <v>168067.22689075631</v>
      </c>
      <c r="F75" s="26">
        <f t="shared" ref="F75:F79" si="4">F74+E75</f>
        <v>-731932.77310924372</v>
      </c>
    </row>
    <row r="76" spans="3:6" x14ac:dyDescent="0.3">
      <c r="C76" s="27">
        <v>2</v>
      </c>
      <c r="D76" s="25">
        <f>Ej_Amber_A!O151</f>
        <v>250000</v>
      </c>
      <c r="E76" s="22">
        <f>D76/POWER(1.19,2)</f>
        <v>176541.20471718101</v>
      </c>
      <c r="F76" s="26">
        <f t="shared" si="4"/>
        <v>-555391.56839206268</v>
      </c>
    </row>
    <row r="77" spans="3:6" x14ac:dyDescent="0.3">
      <c r="C77" s="27">
        <v>3</v>
      </c>
      <c r="D77" s="25">
        <f>Ej_Amber_A!O152</f>
        <v>300000</v>
      </c>
      <c r="E77" s="22">
        <f>D77/POWER(1.19,3)</f>
        <v>178024.74425261951</v>
      </c>
      <c r="F77" s="26">
        <f t="shared" si="4"/>
        <v>-377366.82413944317</v>
      </c>
    </row>
    <row r="78" spans="3:6" x14ac:dyDescent="0.3">
      <c r="C78" s="27">
        <v>4</v>
      </c>
      <c r="D78" s="25">
        <f>Ej_Amber_A!O153</f>
        <v>350000</v>
      </c>
      <c r="E78" s="22">
        <f>D78/POWER(1.19,4)</f>
        <v>174534.06299276423</v>
      </c>
      <c r="F78" s="26">
        <f t="shared" si="4"/>
        <v>-202832.76114667894</v>
      </c>
    </row>
    <row r="79" spans="3:6" x14ac:dyDescent="0.3">
      <c r="C79" s="27">
        <v>5</v>
      </c>
      <c r="D79" s="25">
        <f>Ej_Amber_A!O154</f>
        <v>400000</v>
      </c>
      <c r="E79" s="22">
        <f>D79/POWER(1.19,5)</f>
        <v>167619.74837240262</v>
      </c>
      <c r="F79" s="26">
        <f t="shared" si="4"/>
        <v>-35213.012774276314</v>
      </c>
    </row>
    <row r="80" spans="3:6" x14ac:dyDescent="0.3">
      <c r="F80" s="29"/>
    </row>
    <row r="81" spans="3:6" ht="16.5" customHeight="1" x14ac:dyDescent="0.3">
      <c r="C81" s="114" t="s">
        <v>65</v>
      </c>
      <c r="D81" s="114"/>
      <c r="E81" s="114"/>
      <c r="F81" s="115"/>
    </row>
    <row r="82" spans="3:6" x14ac:dyDescent="0.3">
      <c r="C82" s="114"/>
      <c r="D82" s="114"/>
      <c r="E82" s="114"/>
      <c r="F82" s="115"/>
    </row>
  </sheetData>
  <mergeCells count="17">
    <mergeCell ref="B3:G3"/>
    <mergeCell ref="B1:G1"/>
    <mergeCell ref="C5:C6"/>
    <mergeCell ref="C43:C44"/>
    <mergeCell ref="C59:C60"/>
    <mergeCell ref="C81:F82"/>
    <mergeCell ref="C25:C26"/>
    <mergeCell ref="D5:F5"/>
    <mergeCell ref="D25:F25"/>
    <mergeCell ref="D43:F43"/>
    <mergeCell ref="D59:F59"/>
    <mergeCell ref="D72:F72"/>
    <mergeCell ref="C72:C73"/>
    <mergeCell ref="C22:F23"/>
    <mergeCell ref="C39:F40"/>
    <mergeCell ref="C55:F56"/>
    <mergeCell ref="C68:F6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1:K13"/>
  <sheetViews>
    <sheetView showGridLines="0" showRowColHeaders="0" zoomScale="115" zoomScaleNormal="115" workbookViewId="0">
      <selection activeCell="B8" sqref="B8"/>
    </sheetView>
  </sheetViews>
  <sheetFormatPr baseColWidth="10" defaultRowHeight="16.5" x14ac:dyDescent="0.3"/>
  <cols>
    <col min="1" max="1" width="3.625" customWidth="1"/>
    <col min="3" max="3" width="14.875" customWidth="1"/>
    <col min="4" max="4" width="17.375" customWidth="1"/>
    <col min="5" max="5" width="14" customWidth="1"/>
    <col min="6" max="6" width="15" customWidth="1"/>
    <col min="7" max="7" width="15.75" customWidth="1"/>
    <col min="10" max="10" width="13.5" customWidth="1"/>
    <col min="11" max="11" width="13.875" bestFit="1" customWidth="1"/>
  </cols>
  <sheetData>
    <row r="1" spans="2:11" ht="18.75" x14ac:dyDescent="0.3">
      <c r="B1" s="100" t="s">
        <v>95</v>
      </c>
      <c r="C1" s="100"/>
      <c r="D1" s="100"/>
      <c r="E1" s="100"/>
      <c r="F1" s="100"/>
      <c r="G1" s="100"/>
      <c r="H1" s="100"/>
      <c r="I1" s="100"/>
      <c r="J1" s="100"/>
      <c r="K1" s="100"/>
    </row>
    <row r="3" spans="2:11" x14ac:dyDescent="0.3">
      <c r="B3" s="99" t="str">
        <f>Presentacion!F24</f>
        <v>Beneficio Anual Equivalente.</v>
      </c>
      <c r="C3" s="99"/>
      <c r="D3" s="99"/>
      <c r="E3" s="99"/>
      <c r="F3" s="99"/>
      <c r="G3" s="99"/>
      <c r="H3" s="99"/>
      <c r="I3" s="99"/>
      <c r="J3" s="99"/>
      <c r="K3" s="99"/>
    </row>
    <row r="4" spans="2:11" x14ac:dyDescent="0.3">
      <c r="C4" s="82"/>
      <c r="D4" s="82"/>
      <c r="E4" s="82"/>
      <c r="F4" s="82"/>
      <c r="G4" s="82"/>
      <c r="H4" s="82"/>
    </row>
    <row r="5" spans="2:11" x14ac:dyDescent="0.3">
      <c r="C5" s="120" t="s">
        <v>0</v>
      </c>
      <c r="D5" s="120"/>
      <c r="E5" s="120"/>
      <c r="F5" s="101">
        <v>0.19</v>
      </c>
      <c r="G5" s="101"/>
      <c r="I5" s="96" t="s">
        <v>94</v>
      </c>
      <c r="J5" s="97"/>
      <c r="K5" s="98"/>
    </row>
    <row r="7" spans="2:11" x14ac:dyDescent="0.3">
      <c r="C7" s="84" t="s">
        <v>2</v>
      </c>
      <c r="D7" s="84" t="s">
        <v>3</v>
      </c>
      <c r="E7" s="84" t="s">
        <v>4</v>
      </c>
      <c r="F7" s="84" t="s">
        <v>5</v>
      </c>
      <c r="G7" s="84" t="s">
        <v>6</v>
      </c>
      <c r="I7" s="90" t="s">
        <v>79</v>
      </c>
      <c r="J7" s="90" t="s">
        <v>93</v>
      </c>
      <c r="K7" s="90" t="s">
        <v>38</v>
      </c>
    </row>
    <row r="8" spans="2:11" x14ac:dyDescent="0.3">
      <c r="B8" s="84" t="s">
        <v>42</v>
      </c>
      <c r="C8" s="15">
        <f>ABS(Ej_Amber_A!C170)</f>
        <v>1500000</v>
      </c>
      <c r="D8" s="15">
        <f>ABS(Ej_Amber_A!D170)</f>
        <v>1900000</v>
      </c>
      <c r="E8" s="15">
        <f>ABS(Ej_Amber_A!E170)</f>
        <v>600000</v>
      </c>
      <c r="F8" s="15">
        <f>ABS(Ej_Amber_A!F170)</f>
        <v>500000</v>
      </c>
      <c r="G8" s="15">
        <f>ABS(Ej_Amber_A!G170)</f>
        <v>900000</v>
      </c>
      <c r="I8" s="18">
        <v>1</v>
      </c>
      <c r="J8" s="22" t="str">
        <f>D11</f>
        <v>PROYECTO 2</v>
      </c>
      <c r="K8" s="25">
        <f>D12</f>
        <v>437895.48777701956</v>
      </c>
    </row>
    <row r="9" spans="2:11" x14ac:dyDescent="0.3">
      <c r="C9" s="12"/>
      <c r="D9" s="12"/>
      <c r="E9" s="12"/>
      <c r="F9" s="12"/>
      <c r="G9" s="12"/>
      <c r="I9" s="18">
        <v>2</v>
      </c>
      <c r="J9" s="22" t="str">
        <f>C11</f>
        <v>PROYECTO 1</v>
      </c>
      <c r="K9" s="25">
        <f>C12</f>
        <v>345706.96403448912</v>
      </c>
    </row>
    <row r="10" spans="2:11" x14ac:dyDescent="0.3">
      <c r="I10" s="18">
        <v>3</v>
      </c>
      <c r="J10" s="22" t="str">
        <f>F11</f>
        <v>PROYECTO 4</v>
      </c>
      <c r="K10" s="25">
        <f>F12</f>
        <v>323310.50228310504</v>
      </c>
    </row>
    <row r="11" spans="2:11" x14ac:dyDescent="0.3">
      <c r="C11" s="88" t="s">
        <v>2</v>
      </c>
      <c r="D11" s="88" t="s">
        <v>3</v>
      </c>
      <c r="E11" s="88" t="s">
        <v>4</v>
      </c>
      <c r="F11" s="88" t="s">
        <v>5</v>
      </c>
      <c r="G11" s="88" t="s">
        <v>6</v>
      </c>
      <c r="I11" s="18">
        <v>4</v>
      </c>
      <c r="J11" s="22" t="str">
        <f>G11</f>
        <v>PROYECTO 5</v>
      </c>
      <c r="K11" s="25">
        <f>G12</f>
        <v>294345.14990376594</v>
      </c>
    </row>
    <row r="12" spans="2:11" x14ac:dyDescent="0.3">
      <c r="B12" s="88" t="s">
        <v>38</v>
      </c>
      <c r="C12" s="25">
        <f>(ABS(C8)*0.19)/(1-POWER(1.19,-10))</f>
        <v>345706.96403448912</v>
      </c>
      <c r="D12" s="25">
        <f>(ABS(D8)*0.19)/(1-POWER(1.19,-10))</f>
        <v>437895.48777701956</v>
      </c>
      <c r="E12" s="25">
        <f>(ABS(E8)*0.19)/(1-POWER(1.19,-5))</f>
        <v>196230.09993584396</v>
      </c>
      <c r="F12" s="25">
        <f>(ABS(F8)*0.19)/(1-POWER(1.19,-2))</f>
        <v>323310.50228310504</v>
      </c>
      <c r="G12" s="25">
        <f>(ABS(G8)*0.19/(1-POWER(1.19,-5)))</f>
        <v>294345.14990376594</v>
      </c>
      <c r="I12" s="18">
        <v>5</v>
      </c>
      <c r="J12" s="22" t="str">
        <f>E11</f>
        <v>PROYECTO 3</v>
      </c>
      <c r="K12" s="25">
        <f>E12</f>
        <v>196230.09993584396</v>
      </c>
    </row>
    <row r="13" spans="2:11" x14ac:dyDescent="0.3">
      <c r="C13" s="36">
        <v>2</v>
      </c>
      <c r="D13" s="36">
        <v>1</v>
      </c>
      <c r="E13" s="36">
        <v>5</v>
      </c>
      <c r="F13" s="36">
        <v>3</v>
      </c>
      <c r="G13" s="36">
        <v>4</v>
      </c>
    </row>
  </sheetData>
  <mergeCells count="5">
    <mergeCell ref="C5:E5"/>
    <mergeCell ref="F5:G5"/>
    <mergeCell ref="I5:K5"/>
    <mergeCell ref="B1:K1"/>
    <mergeCell ref="B3:K3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1:S51"/>
  <sheetViews>
    <sheetView showGridLines="0" showRowColHeaders="0" zoomScale="96" zoomScaleNormal="96" workbookViewId="0">
      <selection activeCell="B5" sqref="B5:B6"/>
    </sheetView>
  </sheetViews>
  <sheetFormatPr baseColWidth="10" defaultRowHeight="16.5" x14ac:dyDescent="0.3"/>
  <cols>
    <col min="1" max="1" width="0.375" customWidth="1"/>
    <col min="2" max="2" width="12.875" customWidth="1"/>
    <col min="3" max="3" width="15.5" customWidth="1"/>
    <col min="5" max="5" width="14.625" customWidth="1"/>
    <col min="6" max="6" width="13.25" customWidth="1"/>
    <col min="7" max="7" width="13" customWidth="1"/>
    <col min="8" max="8" width="12.875" customWidth="1"/>
    <col min="9" max="9" width="13.625" customWidth="1"/>
    <col min="10" max="10" width="25.25" customWidth="1"/>
    <col min="11" max="11" width="28.375" customWidth="1"/>
    <col min="12" max="14" width="13.5" customWidth="1"/>
    <col min="15" max="15" width="0.25" customWidth="1"/>
    <col min="16" max="16" width="14.875" hidden="1" customWidth="1"/>
    <col min="17" max="17" width="13.75" hidden="1" customWidth="1"/>
    <col min="18" max="18" width="8.5" hidden="1" customWidth="1"/>
    <col min="19" max="19" width="13.25" hidden="1" customWidth="1"/>
  </cols>
  <sheetData>
    <row r="1" spans="2:19" ht="18.75" x14ac:dyDescent="0.3">
      <c r="B1" s="100" t="s">
        <v>95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</row>
    <row r="3" spans="2:19" x14ac:dyDescent="0.3">
      <c r="B3" s="99" t="str">
        <f>Presentacion!F26</f>
        <v>Determinar cual de los proyectos resulta mejor para invertir.</v>
      </c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</row>
    <row r="5" spans="2:19" ht="25.5" customHeight="1" x14ac:dyDescent="0.3">
      <c r="B5" s="131" t="s">
        <v>100</v>
      </c>
      <c r="C5" s="131" t="s">
        <v>42</v>
      </c>
      <c r="D5" s="131" t="s">
        <v>53</v>
      </c>
      <c r="E5" s="132" t="s">
        <v>102</v>
      </c>
      <c r="F5" s="133"/>
      <c r="G5" s="134" t="s">
        <v>103</v>
      </c>
      <c r="H5" s="131"/>
      <c r="I5" s="134" t="s">
        <v>104</v>
      </c>
      <c r="J5" s="134" t="s">
        <v>115</v>
      </c>
      <c r="K5" s="134" t="s">
        <v>116</v>
      </c>
      <c r="L5" s="134" t="s">
        <v>105</v>
      </c>
      <c r="M5" s="12"/>
      <c r="N5" s="12"/>
      <c r="O5" s="87" t="s">
        <v>2</v>
      </c>
      <c r="P5" s="87" t="s">
        <v>3</v>
      </c>
      <c r="Q5" s="87" t="s">
        <v>4</v>
      </c>
      <c r="R5" s="87" t="s">
        <v>5</v>
      </c>
      <c r="S5" s="87" t="s">
        <v>6</v>
      </c>
    </row>
    <row r="6" spans="2:19" x14ac:dyDescent="0.3">
      <c r="B6" s="131"/>
      <c r="C6" s="137"/>
      <c r="D6" s="131"/>
      <c r="E6" s="135" t="s">
        <v>7</v>
      </c>
      <c r="F6" s="135" t="s">
        <v>8</v>
      </c>
      <c r="G6" s="139" t="s">
        <v>101</v>
      </c>
      <c r="H6" s="139" t="s">
        <v>8</v>
      </c>
      <c r="I6" s="131"/>
      <c r="J6" s="131"/>
      <c r="K6" s="131"/>
      <c r="L6" s="131"/>
      <c r="M6" s="12"/>
      <c r="N6" s="12"/>
      <c r="O6" s="15">
        <f>Ej_Amber_A!C170</f>
        <v>-1500000</v>
      </c>
      <c r="P6" s="15">
        <f>Ej_Amber_A!D170</f>
        <v>-1900000</v>
      </c>
      <c r="Q6" s="15">
        <f>Ej_Amber_A!E170</f>
        <v>-600000</v>
      </c>
      <c r="R6" s="15">
        <f>Ej_Amber_A!F170</f>
        <v>-500000</v>
      </c>
      <c r="S6" s="15">
        <f>Ej_Amber_A!G170</f>
        <v>-900000</v>
      </c>
    </row>
    <row r="7" spans="2:19" x14ac:dyDescent="0.3">
      <c r="B7" s="130" t="s">
        <v>2</v>
      </c>
      <c r="C7" s="12">
        <f>Ej_Amber_A!C34</f>
        <v>-1500000</v>
      </c>
      <c r="D7" s="136" t="s">
        <v>106</v>
      </c>
      <c r="E7" s="12">
        <f>Ej_Amber_A!C23</f>
        <v>27569.95025504427</v>
      </c>
      <c r="F7" s="138">
        <f>Ej_Amber_A!C29</f>
        <v>0.19473808422098338</v>
      </c>
      <c r="G7" s="12">
        <f>Ej_Amber_A!C112</f>
        <v>27569.95025504427</v>
      </c>
      <c r="H7" s="138">
        <f>Ej_Amber_A!C118</f>
        <v>0.19473808422098338</v>
      </c>
      <c r="I7" s="140" t="s">
        <v>109</v>
      </c>
      <c r="J7" s="130" t="s">
        <v>110</v>
      </c>
      <c r="K7" s="130" t="s">
        <v>117</v>
      </c>
      <c r="L7" s="12">
        <f>Ej_Amber_A!C183</f>
        <v>345706.96403448912</v>
      </c>
      <c r="M7" s="12"/>
      <c r="N7" s="12"/>
      <c r="O7" s="15">
        <f>Ej_Amber_A!C171</f>
        <v>280000</v>
      </c>
      <c r="P7" s="15">
        <f>Ej_Amber_A!D171</f>
        <v>300000</v>
      </c>
      <c r="Q7" s="15">
        <f>Ej_Amber_A!E171</f>
        <v>200000</v>
      </c>
      <c r="R7" s="15">
        <f>Ej_Amber_A!F171</f>
        <v>350000</v>
      </c>
      <c r="S7" s="15">
        <f>Ej_Amber_A!G171</f>
        <v>200000</v>
      </c>
    </row>
    <row r="8" spans="2:19" x14ac:dyDescent="0.3">
      <c r="B8" s="130" t="s">
        <v>3</v>
      </c>
      <c r="C8" s="12">
        <f>Ej_Amber_A!C35</f>
        <v>-1900000</v>
      </c>
      <c r="D8" s="136" t="s">
        <v>106</v>
      </c>
      <c r="E8" s="12">
        <f>Ej_Amber_A!D23</f>
        <v>-299245.62142777839</v>
      </c>
      <c r="F8" s="138">
        <f>Ej_Amber_A!D29</f>
        <v>0.14738085161917169</v>
      </c>
      <c r="G8" s="12">
        <f>Ej_Amber_A!D112</f>
        <v>-299245.62142777839</v>
      </c>
      <c r="H8" s="138">
        <f>Ej_Amber_A!D118</f>
        <v>0.14738085161917169</v>
      </c>
      <c r="I8" s="141"/>
      <c r="J8" s="130" t="s">
        <v>111</v>
      </c>
      <c r="K8" s="130" t="s">
        <v>118</v>
      </c>
      <c r="L8" s="12">
        <f>Ej_Amber_A!D183</f>
        <v>437895.48777701956</v>
      </c>
      <c r="M8" s="12"/>
      <c r="N8" s="12"/>
      <c r="O8" s="15">
        <f>Ej_Amber_A!C172</f>
        <v>303000</v>
      </c>
      <c r="P8" s="15">
        <f>Ej_Amber_A!D172</f>
        <v>322000</v>
      </c>
      <c r="Q8" s="15">
        <f>Ej_Amber_A!E172</f>
        <v>200000</v>
      </c>
      <c r="R8" s="15">
        <f>Ej_Amber_A!F172</f>
        <v>-200000</v>
      </c>
      <c r="S8" s="15">
        <f>Ej_Amber_A!G172</f>
        <v>250000</v>
      </c>
    </row>
    <row r="9" spans="2:19" x14ac:dyDescent="0.3">
      <c r="B9" s="130" t="s">
        <v>4</v>
      </c>
      <c r="C9" s="12">
        <f>Ej_Amber_A!C36</f>
        <v>-600000</v>
      </c>
      <c r="D9" s="136" t="s">
        <v>107</v>
      </c>
      <c r="E9" s="12">
        <f>Ej_Amber_A!E23</f>
        <v>11526.977967361687</v>
      </c>
      <c r="F9" s="138">
        <f>Ej_Amber_A!E29</f>
        <v>0.19857709787320132</v>
      </c>
      <c r="G9" s="12">
        <f>Ej_Amber_A!E112</f>
        <v>16357.350833320175</v>
      </c>
      <c r="H9" s="138">
        <f>Ej_Amber_A!E118</f>
        <v>0.198577097873192</v>
      </c>
      <c r="I9" s="141"/>
      <c r="J9" s="130" t="s">
        <v>112</v>
      </c>
      <c r="K9" s="130" t="s">
        <v>119</v>
      </c>
      <c r="L9" s="12">
        <f>Ej_Amber_A!E183</f>
        <v>196230.09993584396</v>
      </c>
      <c r="M9" s="12"/>
      <c r="N9" s="12"/>
      <c r="O9" s="15">
        <f>Ej_Amber_A!C173</f>
        <v>326000</v>
      </c>
      <c r="P9" s="15">
        <f>Ej_Amber_A!D173</f>
        <v>344000</v>
      </c>
      <c r="Q9" s="15">
        <f>Ej_Amber_A!E173</f>
        <v>200000</v>
      </c>
      <c r="R9" s="15">
        <f>Ej_Amber_A!F173</f>
        <v>350000</v>
      </c>
      <c r="S9" s="15">
        <f>Ej_Amber_A!G173</f>
        <v>300000</v>
      </c>
    </row>
    <row r="10" spans="2:19" x14ac:dyDescent="0.3">
      <c r="B10" s="130" t="s">
        <v>5</v>
      </c>
      <c r="C10" s="12">
        <f>Ej_Amber_A!C37</f>
        <v>-500000</v>
      </c>
      <c r="D10" s="136" t="s">
        <v>108</v>
      </c>
      <c r="E10" s="12">
        <f>Ej_Amber_A!F23</f>
        <v>5967.0927194406977</v>
      </c>
      <c r="F10" s="138">
        <f>Ej_Amber_A!F29</f>
        <v>0.20000000000000018</v>
      </c>
      <c r="G10" s="12">
        <f>Ej_Amber_A!F112</f>
        <v>16741.552340552094</v>
      </c>
      <c r="H10" s="138">
        <f>Ej_Amber_A!F118</f>
        <v>0.19999999999999973</v>
      </c>
      <c r="I10" s="141"/>
      <c r="J10" s="130" t="s">
        <v>113</v>
      </c>
      <c r="K10" s="130" t="s">
        <v>121</v>
      </c>
      <c r="L10" s="12">
        <f>Ej_Amber_A!F183</f>
        <v>323310.50228310504</v>
      </c>
      <c r="M10" s="12"/>
      <c r="N10" s="12"/>
      <c r="O10" s="15">
        <f>Ej_Amber_A!C174</f>
        <v>349000</v>
      </c>
      <c r="P10" s="15">
        <f>Ej_Amber_A!D174</f>
        <v>366000</v>
      </c>
      <c r="Q10" s="15">
        <f>Ej_Amber_A!E174</f>
        <v>200000</v>
      </c>
      <c r="R10" s="15">
        <f>Ej_Amber_A!F174</f>
        <v>-200000</v>
      </c>
      <c r="S10" s="15">
        <f>Ej_Amber_A!G174</f>
        <v>350000</v>
      </c>
    </row>
    <row r="11" spans="2:19" x14ac:dyDescent="0.3">
      <c r="B11" s="130" t="s">
        <v>6</v>
      </c>
      <c r="C11" s="12">
        <f>Ej_Amber_A!C38</f>
        <v>-900000</v>
      </c>
      <c r="D11" s="136" t="s">
        <v>107</v>
      </c>
      <c r="E11" s="12">
        <f>Ej_Amber_A!G23</f>
        <v>-35213.012774276431</v>
      </c>
      <c r="F11" s="138">
        <f>Ej_Amber_A!G29</f>
        <v>0.17432326005712007</v>
      </c>
      <c r="G11" s="12">
        <f>Ej_Amber_A!G112</f>
        <v>-49969.003625922487</v>
      </c>
      <c r="H11" s="138">
        <f>Ej_Amber_A!G118</f>
        <v>0.17432326005713539</v>
      </c>
      <c r="I11" s="141"/>
      <c r="J11" s="130" t="s">
        <v>114</v>
      </c>
      <c r="K11" s="130" t="s">
        <v>122</v>
      </c>
      <c r="L11" s="12">
        <f>Ej_Amber_A!G183</f>
        <v>294345.14990376594</v>
      </c>
      <c r="M11" s="12"/>
      <c r="N11" s="12"/>
      <c r="O11" s="15">
        <f>Ej_Amber_A!C175</f>
        <v>372000</v>
      </c>
      <c r="P11" s="15">
        <f>Ej_Amber_A!D175</f>
        <v>388000</v>
      </c>
      <c r="Q11" s="15">
        <f>Ej_Amber_A!E175</f>
        <v>-400000</v>
      </c>
      <c r="R11" s="15">
        <f>Ej_Amber_A!F175</f>
        <v>350000</v>
      </c>
      <c r="S11" s="15">
        <f>Ej_Amber_A!G175</f>
        <v>-500000</v>
      </c>
    </row>
    <row r="12" spans="2:19" x14ac:dyDescent="0.3">
      <c r="O12" s="15">
        <f>Ej_Amber_A!C176</f>
        <v>395000</v>
      </c>
      <c r="P12" s="15">
        <f>Ej_Amber_A!D176</f>
        <v>410000</v>
      </c>
      <c r="Q12" s="15">
        <f>Ej_Amber_A!E176</f>
        <v>200000</v>
      </c>
      <c r="R12" s="15">
        <f>Ej_Amber_A!F176</f>
        <v>-200000</v>
      </c>
      <c r="S12" s="15">
        <f>Ej_Amber_A!G176</f>
        <v>200000</v>
      </c>
    </row>
    <row r="13" spans="2:19" x14ac:dyDescent="0.3">
      <c r="D13" t="s">
        <v>123</v>
      </c>
      <c r="O13" s="15">
        <f>Ej_Amber_A!C177</f>
        <v>418000</v>
      </c>
      <c r="P13" s="15">
        <f>Ej_Amber_A!D177</f>
        <v>432000</v>
      </c>
      <c r="Q13" s="15">
        <f>Ej_Amber_A!E177</f>
        <v>200000</v>
      </c>
      <c r="R13" s="15">
        <f>Ej_Amber_A!F177</f>
        <v>350000</v>
      </c>
      <c r="S13" s="15">
        <f>Ej_Amber_A!G177</f>
        <v>250000</v>
      </c>
    </row>
    <row r="14" spans="2:19" x14ac:dyDescent="0.3">
      <c r="D14" s="87" t="s">
        <v>18</v>
      </c>
      <c r="E14" s="87" t="s">
        <v>2</v>
      </c>
      <c r="F14" s="87" t="s">
        <v>3</v>
      </c>
      <c r="G14" s="87" t="s">
        <v>4</v>
      </c>
      <c r="H14" s="87" t="s">
        <v>5</v>
      </c>
      <c r="I14" s="87" t="s">
        <v>6</v>
      </c>
      <c r="O14" s="15">
        <f>Ej_Amber_A!C178</f>
        <v>441000</v>
      </c>
      <c r="P14" s="15">
        <f>Ej_Amber_A!D178</f>
        <v>454000</v>
      </c>
      <c r="Q14" s="15">
        <f>Ej_Amber_A!E178</f>
        <v>200000</v>
      </c>
      <c r="R14" s="15">
        <f>Ej_Amber_A!F178</f>
        <v>-200000</v>
      </c>
      <c r="S14" s="15">
        <f>Ej_Amber_A!G178</f>
        <v>300000</v>
      </c>
    </row>
    <row r="15" spans="2:19" x14ac:dyDescent="0.3">
      <c r="D15" s="21">
        <f>H8</f>
        <v>0.14738085161917169</v>
      </c>
      <c r="E15" s="22">
        <f>NPV($D$15,O7:O16)+O6</f>
        <v>315851.57266287017</v>
      </c>
      <c r="F15" s="22">
        <f t="shared" ref="F15:I15" si="0">NPV($D$15,P7:P16)+P6</f>
        <v>0</v>
      </c>
      <c r="G15" s="22">
        <f t="shared" si="0"/>
        <v>112129.14829731511</v>
      </c>
      <c r="H15" s="22">
        <f t="shared" si="0"/>
        <v>102316.30044591904</v>
      </c>
      <c r="I15" s="22">
        <f t="shared" si="0"/>
        <v>99064.838870142121</v>
      </c>
      <c r="O15" s="15">
        <f>Ej_Amber_A!C179</f>
        <v>464000</v>
      </c>
      <c r="P15" s="15">
        <f>Ej_Amber_A!D179</f>
        <v>476000</v>
      </c>
      <c r="Q15" s="15">
        <f>Ej_Amber_A!E179</f>
        <v>200000</v>
      </c>
      <c r="R15" s="15">
        <f>Ej_Amber_A!F179</f>
        <v>350000</v>
      </c>
      <c r="S15" s="15">
        <f>Ej_Amber_A!G179</f>
        <v>350000</v>
      </c>
    </row>
    <row r="16" spans="2:19" x14ac:dyDescent="0.3">
      <c r="D16" s="21">
        <f>H11</f>
        <v>0.17432326005713539</v>
      </c>
      <c r="E16" s="22">
        <f>NPV($D$16,O7:O16)+O6</f>
        <v>124725.22397477529</v>
      </c>
      <c r="F16" s="22">
        <f t="shared" ref="F16:I16" si="1">NPV($D$16,P7:P16)+P6</f>
        <v>-198356.32448344748</v>
      </c>
      <c r="G16" s="22">
        <f t="shared" si="1"/>
        <v>48590.511804454494</v>
      </c>
      <c r="H16" s="22">
        <f t="shared" si="1"/>
        <v>45340.463931471924</v>
      </c>
      <c r="I16" s="22">
        <f t="shared" si="1"/>
        <v>0</v>
      </c>
      <c r="O16" s="15">
        <f>Ej_Amber_A!C180</f>
        <v>487000</v>
      </c>
      <c r="P16" s="15">
        <f>Ej_Amber_A!D180</f>
        <v>498000</v>
      </c>
      <c r="Q16" s="15">
        <f>Ej_Amber_A!E180</f>
        <v>200000</v>
      </c>
      <c r="R16" s="15">
        <f>Ej_Amber_A!F180</f>
        <v>300000</v>
      </c>
      <c r="S16" s="15">
        <f>Ej_Amber_A!G180</f>
        <v>400000</v>
      </c>
    </row>
    <row r="17" spans="4:9" x14ac:dyDescent="0.3">
      <c r="D17" s="23">
        <v>0.19</v>
      </c>
      <c r="E17" s="22">
        <f>NPV($D$17,O7:O16)+O6</f>
        <v>27569.95025504427</v>
      </c>
      <c r="F17" s="22">
        <f t="shared" ref="F17:I17" si="2">NPV($D$17,P7:P16)+P6</f>
        <v>-299245.62142777839</v>
      </c>
      <c r="G17" s="22">
        <f t="shared" si="2"/>
        <v>16357.350833320175</v>
      </c>
      <c r="H17" s="22">
        <f t="shared" si="2"/>
        <v>16741.552340552094</v>
      </c>
      <c r="I17" s="22">
        <f t="shared" si="2"/>
        <v>-49969.003625922487</v>
      </c>
    </row>
    <row r="18" spans="4:9" x14ac:dyDescent="0.3">
      <c r="D18" s="21">
        <f>H7</f>
        <v>0.19473808422098338</v>
      </c>
      <c r="E18" s="22">
        <f>NPV($D$18,O7:O16)+O6</f>
        <v>1.6298145055770874E-8</v>
      </c>
      <c r="F18" s="22">
        <f t="shared" ref="F18:I18" si="3">NPV($D$18,P7:P16)+P6</f>
        <v>-327883.18158447323</v>
      </c>
      <c r="G18" s="22">
        <f t="shared" si="3"/>
        <v>7215.7213107220596</v>
      </c>
      <c r="H18" s="22">
        <f t="shared" si="3"/>
        <v>8671.7876625304925</v>
      </c>
      <c r="I18" s="22">
        <f t="shared" si="3"/>
        <v>-64101.866102616303</v>
      </c>
    </row>
    <row r="19" spans="4:9" x14ac:dyDescent="0.3">
      <c r="D19" s="21">
        <f>H9</f>
        <v>0.198577097873192</v>
      </c>
      <c r="E19" s="22">
        <f>NPV($D$19,O7:O16)+O6</f>
        <v>-21765.004447432468</v>
      </c>
      <c r="F19" s="22">
        <f t="shared" ref="F19:I19" si="4">NPV($D$19,P7:P16)+P6</f>
        <v>-350493.6334643017</v>
      </c>
      <c r="G19" s="22">
        <f t="shared" si="4"/>
        <v>1.7229467630386353E-8</v>
      </c>
      <c r="H19" s="22">
        <f t="shared" si="4"/>
        <v>2315.5814930204069</v>
      </c>
      <c r="I19" s="22">
        <f t="shared" si="4"/>
        <v>-75244.57171464467</v>
      </c>
    </row>
    <row r="20" spans="4:9" x14ac:dyDescent="0.3">
      <c r="D20" s="23">
        <f>H10</f>
        <v>0.19999999999999973</v>
      </c>
      <c r="E20" s="22">
        <f>NPV($D$20,O7:O16)+O6</f>
        <v>-29704.946530766319</v>
      </c>
      <c r="F20" s="22">
        <f t="shared" ref="F20:I20" si="5">NPV($D$20,P7:P16)+P6</f>
        <v>-358742.58610301255</v>
      </c>
      <c r="G20" s="22">
        <f t="shared" si="5"/>
        <v>-2632.1260997217614</v>
      </c>
      <c r="H20" s="22">
        <f t="shared" si="5"/>
        <v>0</v>
      </c>
      <c r="I20" s="22">
        <f t="shared" si="5"/>
        <v>-79306.319949850207</v>
      </c>
    </row>
    <row r="50" spans="2:12" x14ac:dyDescent="0.3">
      <c r="B50" s="142" t="s">
        <v>124</v>
      </c>
      <c r="C50" s="142"/>
      <c r="D50" s="142"/>
      <c r="E50" s="142"/>
      <c r="F50" s="142"/>
      <c r="G50" s="142"/>
      <c r="H50" s="142"/>
      <c r="I50" s="142"/>
      <c r="J50" s="142"/>
      <c r="K50" s="142"/>
      <c r="L50" s="142"/>
    </row>
    <row r="51" spans="2:12" x14ac:dyDescent="0.3">
      <c r="B51" s="142"/>
      <c r="C51" s="142"/>
      <c r="D51" s="142"/>
      <c r="E51" s="142"/>
      <c r="F51" s="142"/>
      <c r="G51" s="142"/>
      <c r="H51" s="142"/>
      <c r="I51" s="142"/>
      <c r="J51" s="142"/>
      <c r="K51" s="142"/>
      <c r="L51" s="142"/>
    </row>
  </sheetData>
  <mergeCells count="13">
    <mergeCell ref="B1:M1"/>
    <mergeCell ref="B3:M3"/>
    <mergeCell ref="B50:L51"/>
    <mergeCell ref="J5:J6"/>
    <mergeCell ref="K5:K6"/>
    <mergeCell ref="L5:L6"/>
    <mergeCell ref="I7:I11"/>
    <mergeCell ref="E5:F5"/>
    <mergeCell ref="B5:B6"/>
    <mergeCell ref="C5:C6"/>
    <mergeCell ref="D5:D6"/>
    <mergeCell ref="G5:H5"/>
    <mergeCell ref="I5:I6"/>
  </mergeCells>
  <pageMargins left="0.7" right="0.7" top="0.75" bottom="0.75" header="0.3" footer="0.3"/>
  <pageSetup paperSize="9" orientation="portrait" r:id="rId1"/>
  <ignoredErrors>
    <ignoredError sqref="E16:I16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1:O16"/>
  <sheetViews>
    <sheetView showGridLines="0" showRowColHeaders="0" zoomScale="90" zoomScaleNormal="90" workbookViewId="0">
      <selection activeCell="F5" sqref="F5"/>
    </sheetView>
  </sheetViews>
  <sheetFormatPr baseColWidth="10" defaultRowHeight="16.5" x14ac:dyDescent="0.3"/>
  <cols>
    <col min="1" max="1" width="12.5" customWidth="1"/>
    <col min="5" max="5" width="14.875" customWidth="1"/>
    <col min="6" max="6" width="13.75" customWidth="1"/>
    <col min="7" max="7" width="14.5" customWidth="1"/>
    <col min="8" max="8" width="13.625" customWidth="1"/>
    <col min="9" max="9" width="14.875" customWidth="1"/>
    <col min="10" max="10" width="12.875" customWidth="1"/>
    <col min="11" max="11" width="14" customWidth="1"/>
  </cols>
  <sheetData>
    <row r="1" spans="2:15" ht="18.75" x14ac:dyDescent="0.3">
      <c r="B1" s="100" t="s">
        <v>95</v>
      </c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</row>
    <row r="3" spans="2:15" x14ac:dyDescent="0.3">
      <c r="B3" s="99" t="str">
        <f>Presentacion!F24</f>
        <v>Beneficio Anual Equivalente.</v>
      </c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</row>
    <row r="4" spans="2:15" x14ac:dyDescent="0.3"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</row>
    <row r="5" spans="2:15" x14ac:dyDescent="0.3">
      <c r="F5" s="84" t="s">
        <v>18</v>
      </c>
      <c r="G5" s="84" t="s">
        <v>2</v>
      </c>
      <c r="H5" s="84" t="s">
        <v>3</v>
      </c>
      <c r="I5" s="84" t="s">
        <v>4</v>
      </c>
      <c r="J5" s="84" t="s">
        <v>5</v>
      </c>
      <c r="K5" s="84" t="s">
        <v>6</v>
      </c>
    </row>
    <row r="6" spans="2:15" x14ac:dyDescent="0.3">
      <c r="F6" s="23">
        <f>Ej_Amber_A!B189</f>
        <v>0.05</v>
      </c>
      <c r="G6" s="15">
        <f>Ej_Amber_A!C189</f>
        <v>1390082.8813092676</v>
      </c>
      <c r="H6" s="15">
        <f>Ej_Amber_A!D189</f>
        <v>1112865.5320174191</v>
      </c>
      <c r="I6" s="15">
        <f>Ej_Amber_A!E189</f>
        <v>474231.28595588682</v>
      </c>
      <c r="J6" s="15">
        <f>Ej_Amber_A!F189</f>
        <v>437878.87098426034</v>
      </c>
      <c r="K6" s="15">
        <f>Ej_Amber_A!G189</f>
        <v>673711.26515406929</v>
      </c>
    </row>
    <row r="7" spans="2:15" x14ac:dyDescent="0.3">
      <c r="F7" s="23">
        <f>Ej_Amber_A!B190</f>
        <v>0.1</v>
      </c>
      <c r="G7" s="15">
        <f>Ej_Amber_A!C190</f>
        <v>746979.65822146367</v>
      </c>
      <c r="H7" s="15">
        <f>Ej_Amber_A!D190</f>
        <v>446979.65822146367</v>
      </c>
      <c r="I7" s="15">
        <f>Ej_Amber_A!E190</f>
        <v>256360.62730544305</v>
      </c>
      <c r="J7" s="15">
        <f>Ej_Amber_A!F190</f>
        <v>234078.74688398757</v>
      </c>
      <c r="K7" s="15">
        <f>Ej_Amber_A!G190</f>
        <v>326206.25201832037</v>
      </c>
    </row>
    <row r="8" spans="2:15" x14ac:dyDescent="0.3">
      <c r="F8" s="23">
        <f>Ej_Amber_A!B191</f>
        <v>0.12</v>
      </c>
      <c r="G8" s="15">
        <f>Ej_Amber_A!C191</f>
        <v>547906.49160162243</v>
      </c>
      <c r="H8" s="15">
        <f>Ej_Amber_A!D191</f>
        <v>240656.86331564048</v>
      </c>
      <c r="I8" s="15">
        <f>Ej_Amber_A!E191</f>
        <v>189588.49225101294</v>
      </c>
      <c r="J8" s="15">
        <f>Ej_Amber_A!F191</f>
        <v>172704.93030236952</v>
      </c>
      <c r="K8" s="15">
        <f>Ej_Amber_A!G191</f>
        <v>220703.17172892764</v>
      </c>
    </row>
    <row r="9" spans="2:15" x14ac:dyDescent="0.3">
      <c r="F9" s="23">
        <f>Ej_Amber_A!B192</f>
        <v>0.14738085161917169</v>
      </c>
      <c r="G9" s="15">
        <f>Ej_Amber_A!C192</f>
        <v>315851.57266287017</v>
      </c>
      <c r="H9" s="15">
        <f>Ej_Amber_A!D192</f>
        <v>0</v>
      </c>
      <c r="I9" s="15">
        <f>Ej_Amber_A!E192</f>
        <v>112129.14829731511</v>
      </c>
      <c r="J9" s="15">
        <f>Ej_Amber_A!F192</f>
        <v>102316.30044591904</v>
      </c>
      <c r="K9" s="15">
        <f>Ej_Amber_A!G192</f>
        <v>99064.838870142121</v>
      </c>
    </row>
    <row r="10" spans="2:15" x14ac:dyDescent="0.3">
      <c r="F10" s="23">
        <f>Ej_Amber_A!B193</f>
        <v>0.15</v>
      </c>
      <c r="G10" s="15">
        <f>Ej_Amber_A!C193</f>
        <v>295783.18848330551</v>
      </c>
      <c r="H10" s="15">
        <f>Ej_Amber_A!D193</f>
        <v>-20820.916097179754</v>
      </c>
      <c r="I10" s="15">
        <f>Ej_Amber_A!E193</f>
        <v>105447.68399187212</v>
      </c>
      <c r="J10" s="15">
        <f>Ej_Amber_A!F193</f>
        <v>96290.328286738251</v>
      </c>
      <c r="K10" s="15">
        <f>Ej_Amber_A!G193</f>
        <v>88615.136320202728</v>
      </c>
    </row>
    <row r="11" spans="2:15" x14ac:dyDescent="0.3">
      <c r="F11" s="23">
        <f>Ej_Amber_A!B194</f>
        <v>0.17432326005713539</v>
      </c>
      <c r="G11" s="15">
        <f>Ej_Amber_A!C194</f>
        <v>124725.22397477529</v>
      </c>
      <c r="H11" s="15">
        <f>Ej_Amber_A!D194</f>
        <v>-198356.32448344748</v>
      </c>
      <c r="I11" s="15">
        <f>Ej_Amber_A!E194</f>
        <v>48590.511804454494</v>
      </c>
      <c r="J11" s="15">
        <f>Ej_Amber_A!F194</f>
        <v>45340.463931471924</v>
      </c>
      <c r="K11" s="15">
        <f>Ej_Amber_A!G194</f>
        <v>0</v>
      </c>
    </row>
    <row r="12" spans="2:15" x14ac:dyDescent="0.3">
      <c r="F12" s="23">
        <f>Ej_Amber_A!B195</f>
        <v>0.19</v>
      </c>
      <c r="G12" s="15">
        <f>Ej_Amber_A!C195</f>
        <v>27569.95025504427</v>
      </c>
      <c r="H12" s="15">
        <f>Ej_Amber_A!D195</f>
        <v>-299245.62142777839</v>
      </c>
      <c r="I12" s="15">
        <f>Ej_Amber_A!E195</f>
        <v>16357.350833320175</v>
      </c>
      <c r="J12" s="15">
        <f>Ej_Amber_A!F195</f>
        <v>16741.552340552094</v>
      </c>
      <c r="K12" s="15">
        <f>Ej_Amber_A!G195</f>
        <v>-49969.003625922487</v>
      </c>
    </row>
    <row r="13" spans="2:15" x14ac:dyDescent="0.3">
      <c r="F13" s="23">
        <f>Ej_Amber_A!B196</f>
        <v>0.19473808422098338</v>
      </c>
      <c r="G13" s="15">
        <f>Ej_Amber_A!C196</f>
        <v>1.6298145055770874E-8</v>
      </c>
      <c r="H13" s="15">
        <f>Ej_Amber_A!D196</f>
        <v>-327883.18158447323</v>
      </c>
      <c r="I13" s="15">
        <f>Ej_Amber_A!E196</f>
        <v>7215.7213107220596</v>
      </c>
      <c r="J13" s="15">
        <f>Ej_Amber_A!F196</f>
        <v>8671.7876625304925</v>
      </c>
      <c r="K13" s="15">
        <f>Ej_Amber_A!G196</f>
        <v>-64101.866102616303</v>
      </c>
    </row>
    <row r="14" spans="2:15" x14ac:dyDescent="0.3">
      <c r="F14" s="23">
        <f>Ej_Amber_A!B197</f>
        <v>0.198577097873192</v>
      </c>
      <c r="G14" s="15">
        <f>Ej_Amber_A!C197</f>
        <v>-21765.004447432468</v>
      </c>
      <c r="H14" s="15">
        <f>Ej_Amber_A!D197</f>
        <v>-350493.6334643017</v>
      </c>
      <c r="I14" s="15">
        <f>Ej_Amber_A!E197</f>
        <v>1.7229467630386353E-8</v>
      </c>
      <c r="J14" s="15">
        <f>Ej_Amber_A!F197</f>
        <v>2315.5814930204069</v>
      </c>
      <c r="K14" s="15">
        <f>Ej_Amber_A!G197</f>
        <v>-75244.57171464467</v>
      </c>
    </row>
    <row r="15" spans="2:15" x14ac:dyDescent="0.3">
      <c r="F15" s="23">
        <f>Ej_Amber_A!B198</f>
        <v>0.19999999999999973</v>
      </c>
      <c r="G15" s="15">
        <f>Ej_Amber_A!C198</f>
        <v>-29704.946530766319</v>
      </c>
      <c r="H15" s="15">
        <f>Ej_Amber_A!D198</f>
        <v>-358742.58610301255</v>
      </c>
      <c r="I15" s="15">
        <f>Ej_Amber_A!E198</f>
        <v>-2632.1260997217614</v>
      </c>
      <c r="J15" s="15">
        <f>Ej_Amber_A!F198</f>
        <v>0</v>
      </c>
      <c r="K15" s="15">
        <f>Ej_Amber_A!G198</f>
        <v>-79306.319949850207</v>
      </c>
    </row>
    <row r="16" spans="2:15" x14ac:dyDescent="0.3">
      <c r="F16" s="23">
        <f>Ej_Amber_A!B199</f>
        <v>0.25</v>
      </c>
      <c r="G16" s="15">
        <f>Ej_Amber_A!C199</f>
        <v>-270557.03121919977</v>
      </c>
      <c r="H16" s="15">
        <f>Ej_Amber_A!D199</f>
        <v>-609134.01159679983</v>
      </c>
      <c r="I16" s="15">
        <f>Ej_Amber_A!E199</f>
        <v>-82507.345919999934</v>
      </c>
      <c r="J16" s="15">
        <f>Ej_Amber_A!F199</f>
        <v>-69426.452479999978</v>
      </c>
      <c r="K16" s="15">
        <f>Ej_Amber_A!G199</f>
        <v>-201764.87423999992</v>
      </c>
    </row>
  </sheetData>
  <mergeCells count="2">
    <mergeCell ref="B1:O1"/>
    <mergeCell ref="B3:O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K44"/>
  <sheetViews>
    <sheetView showGridLines="0" showRowColHeaders="0" zoomScale="110" zoomScaleNormal="110" workbookViewId="0">
      <selection activeCell="C5" sqref="C5:F5"/>
    </sheetView>
  </sheetViews>
  <sheetFormatPr baseColWidth="10" defaultRowHeight="16.5" x14ac:dyDescent="0.3"/>
  <cols>
    <col min="2" max="2" width="20" customWidth="1"/>
    <col min="3" max="3" width="14.625" customWidth="1"/>
    <col min="4" max="4" width="15.75" customWidth="1"/>
    <col min="5" max="5" width="14.625" customWidth="1"/>
    <col min="6" max="6" width="14.375" customWidth="1"/>
    <col min="7" max="8" width="15.25" customWidth="1"/>
  </cols>
  <sheetData>
    <row r="1" spans="2:11" ht="18.75" x14ac:dyDescent="0.3">
      <c r="B1" s="100" t="s">
        <v>95</v>
      </c>
      <c r="C1" s="100"/>
      <c r="D1" s="100"/>
      <c r="E1" s="100"/>
      <c r="F1" s="100"/>
      <c r="G1" s="100"/>
      <c r="H1" s="100"/>
      <c r="I1" s="100"/>
      <c r="J1" s="100"/>
      <c r="K1" s="100"/>
    </row>
    <row r="3" spans="2:11" x14ac:dyDescent="0.3">
      <c r="B3" s="99" t="s">
        <v>99</v>
      </c>
      <c r="C3" s="99"/>
      <c r="D3" s="99"/>
      <c r="E3" s="99"/>
      <c r="F3" s="99"/>
      <c r="G3" s="99"/>
      <c r="H3" s="99"/>
      <c r="I3" s="99"/>
      <c r="J3" s="99"/>
      <c r="K3" s="99"/>
    </row>
    <row r="5" spans="2:11" x14ac:dyDescent="0.3">
      <c r="C5" s="95" t="s">
        <v>0</v>
      </c>
      <c r="D5" s="95"/>
      <c r="E5" s="95"/>
      <c r="F5" s="95"/>
      <c r="G5" s="101">
        <v>0.19</v>
      </c>
      <c r="H5" s="101"/>
    </row>
    <row r="7" spans="2:11" x14ac:dyDescent="0.3">
      <c r="C7" s="84" t="s">
        <v>1</v>
      </c>
      <c r="D7" s="84" t="s">
        <v>2</v>
      </c>
      <c r="E7" s="84" t="s">
        <v>3</v>
      </c>
      <c r="F7" s="84" t="s">
        <v>4</v>
      </c>
      <c r="G7" s="84" t="s">
        <v>5</v>
      </c>
      <c r="H7" s="84" t="s">
        <v>6</v>
      </c>
    </row>
    <row r="8" spans="2:11" x14ac:dyDescent="0.3">
      <c r="C8" s="18">
        <v>0</v>
      </c>
      <c r="D8" s="15">
        <f>Ej_Amber_B!J5</f>
        <v>-1500000</v>
      </c>
      <c r="E8" s="15">
        <f>Ej_Amber_B!K5</f>
        <v>-1900000</v>
      </c>
      <c r="F8" s="15">
        <f>Ej_Amber_B!L5</f>
        <v>-600000</v>
      </c>
      <c r="G8" s="15">
        <f>Ej_Amber_B!M5</f>
        <v>-500000</v>
      </c>
      <c r="H8" s="15">
        <f>Ej_Amber_B!N5</f>
        <v>-900000</v>
      </c>
    </row>
    <row r="9" spans="2:11" x14ac:dyDescent="0.3">
      <c r="C9" s="18">
        <v>1</v>
      </c>
      <c r="D9" s="15">
        <f>Ej_Amber_B!J6</f>
        <v>280000</v>
      </c>
      <c r="E9" s="15">
        <f>Ej_Amber_B!K6</f>
        <v>300000</v>
      </c>
      <c r="F9" s="15">
        <f>Ej_Amber_B!L6</f>
        <v>200000</v>
      </c>
      <c r="G9" s="15">
        <f>Ej_Amber_B!M6</f>
        <v>350000</v>
      </c>
      <c r="H9" s="15">
        <f>Ej_Amber_B!N6</f>
        <v>200000</v>
      </c>
    </row>
    <row r="10" spans="2:11" x14ac:dyDescent="0.3">
      <c r="C10" s="18">
        <v>2</v>
      </c>
      <c r="D10" s="15">
        <f>Ej_Amber_B!J7</f>
        <v>303000</v>
      </c>
      <c r="E10" s="15">
        <f>Ej_Amber_B!K7</f>
        <v>322000</v>
      </c>
      <c r="F10" s="15">
        <f>Ej_Amber_B!L7</f>
        <v>200000</v>
      </c>
      <c r="G10" s="15">
        <f>Ej_Amber_B!M7</f>
        <v>-200000</v>
      </c>
      <c r="H10" s="15">
        <f>Ej_Amber_B!N7</f>
        <v>250000</v>
      </c>
    </row>
    <row r="11" spans="2:11" x14ac:dyDescent="0.3">
      <c r="C11" s="18">
        <v>3</v>
      </c>
      <c r="D11" s="15">
        <f>Ej_Amber_B!J8</f>
        <v>326000</v>
      </c>
      <c r="E11" s="15">
        <f>Ej_Amber_B!K8</f>
        <v>344000</v>
      </c>
      <c r="F11" s="15">
        <f>Ej_Amber_B!L8</f>
        <v>200000</v>
      </c>
      <c r="G11" s="15">
        <f>Ej_Amber_B!M8</f>
        <v>350000</v>
      </c>
      <c r="H11" s="15">
        <f>Ej_Amber_B!N8</f>
        <v>300000</v>
      </c>
    </row>
    <row r="12" spans="2:11" x14ac:dyDescent="0.3">
      <c r="C12" s="18">
        <v>4</v>
      </c>
      <c r="D12" s="15">
        <f>Ej_Amber_B!J9</f>
        <v>349000</v>
      </c>
      <c r="E12" s="15">
        <f>Ej_Amber_B!K9</f>
        <v>366000</v>
      </c>
      <c r="F12" s="15">
        <f>Ej_Amber_B!L9</f>
        <v>200000</v>
      </c>
      <c r="G12" s="15">
        <f>Ej_Amber_B!M9</f>
        <v>-200000</v>
      </c>
      <c r="H12" s="15">
        <f>Ej_Amber_B!N9</f>
        <v>350000</v>
      </c>
    </row>
    <row r="13" spans="2:11" x14ac:dyDescent="0.3">
      <c r="C13" s="18">
        <v>5</v>
      </c>
      <c r="D13" s="15">
        <f>Ej_Amber_B!J10</f>
        <v>372000</v>
      </c>
      <c r="E13" s="15">
        <f>Ej_Amber_B!K10</f>
        <v>388000</v>
      </c>
      <c r="F13" s="15">
        <f>Ej_Amber_B!L10</f>
        <v>-400000</v>
      </c>
      <c r="G13" s="15">
        <f>Ej_Amber_B!M10</f>
        <v>350000</v>
      </c>
      <c r="H13" s="15">
        <f>Ej_Amber_B!N10</f>
        <v>-500000</v>
      </c>
    </row>
    <row r="14" spans="2:11" x14ac:dyDescent="0.3">
      <c r="C14" s="18">
        <v>6</v>
      </c>
      <c r="D14" s="15">
        <f>Ej_Amber_B!J11</f>
        <v>395000</v>
      </c>
      <c r="E14" s="15">
        <f>Ej_Amber_B!K11</f>
        <v>410000</v>
      </c>
      <c r="F14" s="15">
        <f>Ej_Amber_B!L11</f>
        <v>200000</v>
      </c>
      <c r="G14" s="15">
        <f>Ej_Amber_B!M11</f>
        <v>-200000</v>
      </c>
      <c r="H14" s="15">
        <f>Ej_Amber_B!N11</f>
        <v>200000</v>
      </c>
    </row>
    <row r="15" spans="2:11" x14ac:dyDescent="0.3">
      <c r="C15" s="18">
        <v>7</v>
      </c>
      <c r="D15" s="15">
        <f>Ej_Amber_B!J12</f>
        <v>418000</v>
      </c>
      <c r="E15" s="15">
        <f>Ej_Amber_B!K12</f>
        <v>432000</v>
      </c>
      <c r="F15" s="15">
        <f>Ej_Amber_B!L12</f>
        <v>200000</v>
      </c>
      <c r="G15" s="15">
        <f>Ej_Amber_B!M12</f>
        <v>350000</v>
      </c>
      <c r="H15" s="15">
        <f>Ej_Amber_B!N12</f>
        <v>250000</v>
      </c>
    </row>
    <row r="16" spans="2:11" x14ac:dyDescent="0.3">
      <c r="C16" s="18">
        <v>8</v>
      </c>
      <c r="D16" s="15">
        <f>Ej_Amber_B!J13</f>
        <v>441000</v>
      </c>
      <c r="E16" s="15">
        <f>Ej_Amber_B!K13</f>
        <v>454000</v>
      </c>
      <c r="F16" s="15">
        <f>Ej_Amber_B!L13</f>
        <v>200000</v>
      </c>
      <c r="G16" s="15">
        <f>Ej_Amber_B!M13</f>
        <v>-200000</v>
      </c>
      <c r="H16" s="15">
        <f>Ej_Amber_B!N13</f>
        <v>300000</v>
      </c>
    </row>
    <row r="17" spans="3:8" x14ac:dyDescent="0.3">
      <c r="C17" s="18">
        <v>9</v>
      </c>
      <c r="D17" s="15">
        <f>Ej_Amber_B!J14</f>
        <v>464000</v>
      </c>
      <c r="E17" s="15">
        <f>Ej_Amber_B!K14</f>
        <v>476000</v>
      </c>
      <c r="F17" s="15">
        <f>Ej_Amber_B!L14</f>
        <v>200000</v>
      </c>
      <c r="G17" s="15">
        <f>Ej_Amber_B!M14</f>
        <v>350000</v>
      </c>
      <c r="H17" s="15">
        <f>Ej_Amber_B!N14</f>
        <v>350000</v>
      </c>
    </row>
    <row r="18" spans="3:8" x14ac:dyDescent="0.3">
      <c r="C18" s="18">
        <v>10</v>
      </c>
      <c r="D18" s="15">
        <f>Ej_Amber_B!J15</f>
        <v>487000</v>
      </c>
      <c r="E18" s="15">
        <f>Ej_Amber_B!K15</f>
        <v>498000</v>
      </c>
      <c r="F18" s="15">
        <f>Ej_Amber_B!L15</f>
        <v>200000</v>
      </c>
      <c r="G18" s="15">
        <f>Ej_Amber_B!M15</f>
        <v>300000</v>
      </c>
      <c r="H18" s="15">
        <f>Ej_Amber_B!N15</f>
        <v>400000</v>
      </c>
    </row>
    <row r="19" spans="3:8" x14ac:dyDescent="0.3">
      <c r="C19" s="11"/>
      <c r="D19" s="12"/>
      <c r="E19" s="12"/>
      <c r="F19" s="12"/>
      <c r="G19" s="12"/>
      <c r="H19" s="12"/>
    </row>
    <row r="20" spans="3:8" x14ac:dyDescent="0.3">
      <c r="C20" s="11"/>
      <c r="D20" s="84" t="s">
        <v>2</v>
      </c>
      <c r="E20" s="84" t="s">
        <v>3</v>
      </c>
      <c r="F20" s="84" t="s">
        <v>4</v>
      </c>
      <c r="G20" s="84" t="s">
        <v>5</v>
      </c>
      <c r="H20" s="84" t="s">
        <v>6</v>
      </c>
    </row>
    <row r="21" spans="3:8" x14ac:dyDescent="0.3">
      <c r="C21" s="83" t="s">
        <v>7</v>
      </c>
      <c r="D21" s="15">
        <f>NPV($G$5,D9:D18)+D8</f>
        <v>27569.95025504427</v>
      </c>
      <c r="E21" s="15">
        <f t="shared" ref="E21:H21" si="0">NPV($G$5,E9:E18)+E8</f>
        <v>-299245.62142777839</v>
      </c>
      <c r="F21" s="15">
        <f t="shared" si="0"/>
        <v>16357.350833320175</v>
      </c>
      <c r="G21" s="15">
        <f t="shared" si="0"/>
        <v>16741.552340552094</v>
      </c>
      <c r="H21" s="15">
        <f t="shared" si="0"/>
        <v>-49969.003625922487</v>
      </c>
    </row>
    <row r="22" spans="3:8" x14ac:dyDescent="0.3">
      <c r="D22" s="36">
        <v>1</v>
      </c>
      <c r="E22" s="36">
        <v>5</v>
      </c>
      <c r="F22" s="36">
        <v>3</v>
      </c>
      <c r="G22" s="36">
        <v>2</v>
      </c>
      <c r="H22" s="36">
        <v>4</v>
      </c>
    </row>
    <row r="24" spans="3:8" x14ac:dyDescent="0.3">
      <c r="D24" s="68" t="s">
        <v>93</v>
      </c>
      <c r="E24" s="68" t="s">
        <v>42</v>
      </c>
      <c r="F24" s="68" t="s">
        <v>41</v>
      </c>
      <c r="G24" s="68" t="s">
        <v>79</v>
      </c>
    </row>
    <row r="25" spans="3:8" x14ac:dyDescent="0.3">
      <c r="D25" s="18" t="str">
        <f>D20</f>
        <v>PROYECTO 1</v>
      </c>
      <c r="E25" s="22">
        <f>D8</f>
        <v>-1500000</v>
      </c>
      <c r="F25" s="22">
        <f>D21</f>
        <v>27569.95025504427</v>
      </c>
      <c r="G25" s="89">
        <v>1</v>
      </c>
    </row>
    <row r="26" spans="3:8" x14ac:dyDescent="0.3">
      <c r="D26" s="18" t="str">
        <f>E20</f>
        <v>PROYECTO 2</v>
      </c>
      <c r="E26" s="22">
        <f>E8</f>
        <v>-1900000</v>
      </c>
      <c r="F26" s="22">
        <f>E21</f>
        <v>-299245.62142777839</v>
      </c>
      <c r="G26" s="89">
        <v>5</v>
      </c>
    </row>
    <row r="27" spans="3:8" x14ac:dyDescent="0.3">
      <c r="D27" s="18" t="str">
        <f>F20</f>
        <v>PROYECTO 3</v>
      </c>
      <c r="E27" s="22">
        <f>F8</f>
        <v>-600000</v>
      </c>
      <c r="F27" s="22">
        <f>F21</f>
        <v>16357.350833320175</v>
      </c>
      <c r="G27" s="89">
        <v>3</v>
      </c>
    </row>
    <row r="28" spans="3:8" x14ac:dyDescent="0.3">
      <c r="D28" s="18" t="str">
        <f>G20</f>
        <v>PROYECTO 4</v>
      </c>
      <c r="E28" s="22">
        <f>G8</f>
        <v>-500000</v>
      </c>
      <c r="F28" s="22">
        <f>G21</f>
        <v>16741.552340552094</v>
      </c>
      <c r="G28" s="89">
        <v>2</v>
      </c>
    </row>
    <row r="29" spans="3:8" x14ac:dyDescent="0.3">
      <c r="D29" s="18" t="str">
        <f>H20</f>
        <v>PROYECTO 5</v>
      </c>
      <c r="E29" s="22">
        <f>H8</f>
        <v>-900000</v>
      </c>
      <c r="F29" s="22">
        <f>H21</f>
        <v>-49969.003625922487</v>
      </c>
      <c r="G29" s="89">
        <v>4</v>
      </c>
    </row>
    <row r="30" spans="3:8" x14ac:dyDescent="0.3">
      <c r="D30" s="11"/>
      <c r="E30" s="6"/>
      <c r="F30" s="6"/>
    </row>
    <row r="31" spans="3:8" x14ac:dyDescent="0.3">
      <c r="C31" s="95" t="s">
        <v>40</v>
      </c>
      <c r="D31" s="95"/>
      <c r="E31" s="95"/>
      <c r="F31" s="124">
        <v>4000000</v>
      </c>
      <c r="G31" s="124"/>
      <c r="H31" s="124"/>
    </row>
    <row r="33" spans="3:8" x14ac:dyDescent="0.3">
      <c r="C33" s="68" t="s">
        <v>7</v>
      </c>
      <c r="D33" s="68" t="s">
        <v>41</v>
      </c>
      <c r="E33" s="68" t="s">
        <v>42</v>
      </c>
      <c r="F33" s="91" t="s">
        <v>43</v>
      </c>
      <c r="G33" s="125" t="s">
        <v>98</v>
      </c>
      <c r="H33" s="125"/>
    </row>
    <row r="34" spans="3:8" x14ac:dyDescent="0.3">
      <c r="C34" s="22">
        <f>D21</f>
        <v>27569.95025504427</v>
      </c>
      <c r="D34" s="22">
        <f>C34</f>
        <v>27569.95025504427</v>
      </c>
      <c r="E34" s="22">
        <f>D8</f>
        <v>-1500000</v>
      </c>
      <c r="F34" s="37">
        <f>E34</f>
        <v>-1500000</v>
      </c>
      <c r="G34" s="122">
        <f>F31+E34</f>
        <v>2500000</v>
      </c>
      <c r="H34" s="123"/>
    </row>
    <row r="35" spans="3:8" x14ac:dyDescent="0.3">
      <c r="C35" s="22">
        <f>G21</f>
        <v>16741.552340552094</v>
      </c>
      <c r="D35" s="22">
        <f>D34+C35</f>
        <v>44311.502595596365</v>
      </c>
      <c r="E35" s="22">
        <f>G8</f>
        <v>-500000</v>
      </c>
      <c r="F35" s="37">
        <f>F34+E35</f>
        <v>-2000000</v>
      </c>
      <c r="G35" s="122">
        <f>G34+E35</f>
        <v>2000000</v>
      </c>
      <c r="H35" s="123"/>
    </row>
    <row r="36" spans="3:8" x14ac:dyDescent="0.3">
      <c r="C36" s="22">
        <f>F21</f>
        <v>16357.350833320175</v>
      </c>
      <c r="D36" s="22">
        <f>D35+C36</f>
        <v>60668.85342891654</v>
      </c>
      <c r="E36" s="22">
        <f>F8</f>
        <v>-600000</v>
      </c>
      <c r="F36" s="37">
        <f>F35+E36</f>
        <v>-2600000</v>
      </c>
      <c r="G36" s="122">
        <f>G35+E36</f>
        <v>1400000</v>
      </c>
      <c r="H36" s="123"/>
    </row>
    <row r="37" spans="3:8" x14ac:dyDescent="0.3">
      <c r="C37" s="22">
        <f>H21</f>
        <v>-49969.003625922487</v>
      </c>
      <c r="D37" s="22">
        <f>D36+C37</f>
        <v>10699.849802994053</v>
      </c>
      <c r="E37" s="22">
        <f>H8</f>
        <v>-900000</v>
      </c>
      <c r="F37" s="37">
        <f>F36+E37</f>
        <v>-3500000</v>
      </c>
      <c r="G37" s="122">
        <f>G36+E37</f>
        <v>500000</v>
      </c>
      <c r="H37" s="123"/>
    </row>
    <row r="38" spans="3:8" x14ac:dyDescent="0.3">
      <c r="C38" s="22">
        <f>E21</f>
        <v>-299245.62142777839</v>
      </c>
      <c r="D38" s="22">
        <f>D37+C38</f>
        <v>-288545.77162478433</v>
      </c>
      <c r="E38" s="22">
        <f>E8</f>
        <v>-1900000</v>
      </c>
      <c r="F38" s="37">
        <f>F37+E38</f>
        <v>-5400000</v>
      </c>
      <c r="G38" s="122">
        <f>G37+E38</f>
        <v>-1400000</v>
      </c>
      <c r="H38" s="123"/>
    </row>
    <row r="39" spans="3:8" x14ac:dyDescent="0.3">
      <c r="D39" s="6"/>
      <c r="E39" s="6"/>
      <c r="F39" s="6"/>
      <c r="G39" s="6"/>
      <c r="H39" s="64"/>
    </row>
    <row r="40" spans="3:8" x14ac:dyDescent="0.3">
      <c r="C40" s="103" t="s">
        <v>67</v>
      </c>
      <c r="D40" s="103"/>
      <c r="E40" s="103"/>
      <c r="F40" s="103"/>
      <c r="G40" s="103"/>
      <c r="H40" s="103"/>
    </row>
    <row r="41" spans="3:8" ht="16.5" customHeight="1" x14ac:dyDescent="0.3">
      <c r="C41" s="121" t="s">
        <v>68</v>
      </c>
      <c r="D41" s="121"/>
      <c r="E41" s="121"/>
      <c r="F41" s="121"/>
      <c r="G41" s="121"/>
      <c r="H41" s="121"/>
    </row>
    <row r="42" spans="3:8" x14ac:dyDescent="0.3">
      <c r="C42" s="121"/>
      <c r="D42" s="121"/>
      <c r="E42" s="121"/>
      <c r="F42" s="121"/>
      <c r="G42" s="121"/>
      <c r="H42" s="121"/>
    </row>
    <row r="43" spans="3:8" x14ac:dyDescent="0.3">
      <c r="C43" s="121"/>
      <c r="D43" s="121"/>
      <c r="E43" s="121"/>
      <c r="F43" s="121"/>
      <c r="G43" s="121"/>
      <c r="H43" s="121"/>
    </row>
    <row r="44" spans="3:8" x14ac:dyDescent="0.3">
      <c r="C44" s="121"/>
      <c r="D44" s="121"/>
      <c r="E44" s="121"/>
      <c r="F44" s="121"/>
      <c r="G44" s="121"/>
      <c r="H44" s="121"/>
    </row>
  </sheetData>
  <mergeCells count="14">
    <mergeCell ref="C41:H44"/>
    <mergeCell ref="B1:K1"/>
    <mergeCell ref="B3:K3"/>
    <mergeCell ref="G35:H35"/>
    <mergeCell ref="G36:H36"/>
    <mergeCell ref="G37:H37"/>
    <mergeCell ref="G38:H38"/>
    <mergeCell ref="F31:H31"/>
    <mergeCell ref="C40:H40"/>
    <mergeCell ref="G33:H33"/>
    <mergeCell ref="G34:H34"/>
    <mergeCell ref="C5:F5"/>
    <mergeCell ref="G5:H5"/>
    <mergeCell ref="C31:E31"/>
  </mergeCells>
  <pageMargins left="0.7" right="0.7" top="0.75" bottom="0.75" header="0.3" footer="0.3"/>
  <pageSetup paperSize="9" orientation="portrait" r:id="rId1"/>
  <ignoredErrors>
    <ignoredError sqref="E34:E38" 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3:Y199"/>
  <sheetViews>
    <sheetView showRowColHeaders="0" topLeftCell="A177" zoomScaleNormal="100" workbookViewId="0">
      <selection activeCell="B145" sqref="B145:E145"/>
    </sheetView>
  </sheetViews>
  <sheetFormatPr baseColWidth="10" defaultRowHeight="16.5" x14ac:dyDescent="0.3"/>
  <cols>
    <col min="1" max="1" width="6.25" customWidth="1"/>
    <col min="2" max="2" width="15.625" customWidth="1"/>
    <col min="3" max="3" width="19.625" customWidth="1"/>
    <col min="4" max="4" width="17.5" customWidth="1"/>
    <col min="5" max="5" width="17.875" customWidth="1"/>
    <col min="6" max="6" width="18" customWidth="1"/>
    <col min="7" max="7" width="18.5" customWidth="1"/>
    <col min="8" max="8" width="16.5" customWidth="1"/>
    <col min="9" max="10" width="16.75" customWidth="1"/>
    <col min="11" max="11" width="16" customWidth="1"/>
    <col min="12" max="12" width="16.625" customWidth="1"/>
    <col min="13" max="13" width="16.375" customWidth="1"/>
    <col min="14" max="14" width="16.5" customWidth="1"/>
    <col min="15" max="15" width="12.875" customWidth="1"/>
    <col min="16" max="16" width="15.75" customWidth="1"/>
    <col min="17" max="17" width="19.875" customWidth="1"/>
    <col min="18" max="18" width="15" customWidth="1"/>
    <col min="21" max="22" width="13.25" customWidth="1"/>
    <col min="25" max="25" width="13.25" customWidth="1"/>
  </cols>
  <sheetData>
    <row r="3" spans="2:12" x14ac:dyDescent="0.3">
      <c r="B3" s="128" t="s">
        <v>39</v>
      </c>
      <c r="C3" s="128"/>
      <c r="D3" s="128"/>
      <c r="E3" s="95" t="s">
        <v>2</v>
      </c>
      <c r="F3" s="95"/>
      <c r="G3" s="95"/>
    </row>
    <row r="5" spans="2:12" x14ac:dyDescent="0.3">
      <c r="B5" s="95" t="s">
        <v>0</v>
      </c>
      <c r="C5" s="95"/>
      <c r="D5" s="95"/>
      <c r="E5" s="95"/>
      <c r="F5" s="101">
        <v>0.19</v>
      </c>
      <c r="G5" s="101"/>
    </row>
    <row r="7" spans="2:12" x14ac:dyDescent="0.3">
      <c r="B7" s="17" t="s">
        <v>1</v>
      </c>
      <c r="C7" s="17" t="s">
        <v>2</v>
      </c>
      <c r="D7" s="17" t="s">
        <v>3</v>
      </c>
      <c r="E7" s="17" t="s">
        <v>4</v>
      </c>
      <c r="F7" s="17" t="s">
        <v>5</v>
      </c>
      <c r="G7" s="17" t="s">
        <v>6</v>
      </c>
    </row>
    <row r="8" spans="2:12" x14ac:dyDescent="0.3">
      <c r="B8" s="18">
        <v>0</v>
      </c>
      <c r="C8" s="15">
        <v>-1500000</v>
      </c>
      <c r="D8" s="15">
        <v>-1900000</v>
      </c>
      <c r="E8" s="15">
        <v>-600000</v>
      </c>
      <c r="F8" s="15">
        <v>-500000</v>
      </c>
      <c r="G8" s="15">
        <v>-900000</v>
      </c>
      <c r="I8" s="8"/>
      <c r="J8" s="8"/>
      <c r="K8" s="8"/>
      <c r="L8" s="8"/>
    </row>
    <row r="9" spans="2:12" x14ac:dyDescent="0.3">
      <c r="B9" s="18">
        <v>1</v>
      </c>
      <c r="C9" s="15">
        <v>280000</v>
      </c>
      <c r="D9" s="15">
        <v>300000</v>
      </c>
      <c r="E9" s="15">
        <v>200000</v>
      </c>
      <c r="F9" s="15">
        <v>350000</v>
      </c>
      <c r="G9" s="15">
        <v>200000</v>
      </c>
      <c r="I9" s="8"/>
      <c r="J9" s="8"/>
      <c r="K9" s="8"/>
      <c r="L9" s="8"/>
    </row>
    <row r="10" spans="2:12" x14ac:dyDescent="0.3">
      <c r="B10" s="18">
        <v>2</v>
      </c>
      <c r="C10" s="15">
        <v>303000</v>
      </c>
      <c r="D10" s="15">
        <v>322000</v>
      </c>
      <c r="E10" s="15">
        <v>200000</v>
      </c>
      <c r="F10" s="15">
        <v>300000</v>
      </c>
      <c r="G10" s="15">
        <v>250000</v>
      </c>
      <c r="I10" s="8"/>
      <c r="J10" s="8"/>
      <c r="K10" s="8"/>
      <c r="L10" s="8"/>
    </row>
    <row r="11" spans="2:12" x14ac:dyDescent="0.3">
      <c r="B11" s="18">
        <v>3</v>
      </c>
      <c r="C11" s="15">
        <v>326000</v>
      </c>
      <c r="D11" s="15">
        <v>344000</v>
      </c>
      <c r="E11" s="15">
        <v>200000</v>
      </c>
      <c r="F11" s="15"/>
      <c r="G11" s="15">
        <v>300000</v>
      </c>
      <c r="I11" s="8"/>
      <c r="J11" s="8"/>
      <c r="K11" s="8"/>
      <c r="L11" s="8"/>
    </row>
    <row r="12" spans="2:12" x14ac:dyDescent="0.3">
      <c r="B12" s="18">
        <v>4</v>
      </c>
      <c r="C12" s="15">
        <v>349000</v>
      </c>
      <c r="D12" s="15">
        <v>366000</v>
      </c>
      <c r="E12" s="15">
        <v>200000</v>
      </c>
      <c r="F12" s="15"/>
      <c r="G12" s="15">
        <v>350000</v>
      </c>
      <c r="I12" s="8"/>
      <c r="J12" s="8"/>
      <c r="K12" s="8"/>
      <c r="L12" s="8"/>
    </row>
    <row r="13" spans="2:12" x14ac:dyDescent="0.3">
      <c r="B13" s="18">
        <v>5</v>
      </c>
      <c r="C13" s="15">
        <v>372000</v>
      </c>
      <c r="D13" s="15">
        <v>388000</v>
      </c>
      <c r="E13" s="15">
        <v>200000</v>
      </c>
      <c r="F13" s="15"/>
      <c r="G13" s="15">
        <v>400000</v>
      </c>
      <c r="I13" s="8"/>
      <c r="J13" s="8"/>
      <c r="K13" s="8"/>
      <c r="L13" s="8"/>
    </row>
    <row r="14" spans="2:12" x14ac:dyDescent="0.3">
      <c r="B14" s="18">
        <v>6</v>
      </c>
      <c r="C14" s="15">
        <v>395000</v>
      </c>
      <c r="D14" s="15">
        <v>410000</v>
      </c>
      <c r="E14" s="15"/>
      <c r="F14" s="15"/>
      <c r="G14" s="15"/>
      <c r="I14" s="8"/>
      <c r="J14" s="8"/>
      <c r="K14" s="8"/>
      <c r="L14" s="8"/>
    </row>
    <row r="15" spans="2:12" x14ac:dyDescent="0.3">
      <c r="B15" s="18">
        <v>7</v>
      </c>
      <c r="C15" s="15">
        <v>418000</v>
      </c>
      <c r="D15" s="15">
        <v>432000</v>
      </c>
      <c r="E15" s="15"/>
      <c r="F15" s="15"/>
      <c r="G15" s="15"/>
      <c r="I15" s="8"/>
      <c r="J15" s="8"/>
      <c r="K15" s="8"/>
      <c r="L15" s="8"/>
    </row>
    <row r="16" spans="2:12" x14ac:dyDescent="0.3">
      <c r="B16" s="18">
        <v>8</v>
      </c>
      <c r="C16" s="15">
        <v>441000</v>
      </c>
      <c r="D16" s="15">
        <v>454000</v>
      </c>
      <c r="E16" s="15"/>
      <c r="F16" s="15"/>
      <c r="G16" s="15"/>
      <c r="I16" s="8"/>
      <c r="J16" s="8"/>
      <c r="K16" s="8"/>
      <c r="L16" s="8"/>
    </row>
    <row r="17" spans="1:12" x14ac:dyDescent="0.3">
      <c r="B17" s="18">
        <v>9</v>
      </c>
      <c r="C17" s="15">
        <v>464000</v>
      </c>
      <c r="D17" s="15">
        <v>476000</v>
      </c>
      <c r="E17" s="15"/>
      <c r="F17" s="15"/>
      <c r="G17" s="15"/>
      <c r="I17" s="8"/>
      <c r="J17" s="8"/>
      <c r="K17" s="8"/>
      <c r="L17" s="8"/>
    </row>
    <row r="18" spans="1:12" x14ac:dyDescent="0.3">
      <c r="B18" s="18">
        <v>10</v>
      </c>
      <c r="C18" s="15">
        <v>487000</v>
      </c>
      <c r="D18" s="15">
        <v>498000</v>
      </c>
      <c r="E18" s="15"/>
      <c r="F18" s="15"/>
      <c r="G18" s="15"/>
      <c r="I18" s="8"/>
      <c r="J18" s="8"/>
      <c r="K18" s="8"/>
      <c r="L18" s="8"/>
    </row>
    <row r="19" spans="1:12" x14ac:dyDescent="0.3">
      <c r="B19" s="11"/>
      <c r="C19" s="12"/>
      <c r="D19" s="12"/>
      <c r="E19" s="12"/>
      <c r="F19" s="12"/>
      <c r="G19" s="12"/>
      <c r="I19" s="8"/>
      <c r="J19" s="8"/>
      <c r="K19" s="8"/>
      <c r="L19" s="8"/>
    </row>
    <row r="20" spans="1:12" x14ac:dyDescent="0.3">
      <c r="B20" s="42" t="s">
        <v>44</v>
      </c>
      <c r="C20" s="12"/>
      <c r="D20" s="12"/>
      <c r="E20" s="12"/>
      <c r="F20" s="12"/>
      <c r="G20" s="12"/>
      <c r="I20" s="8"/>
      <c r="J20" s="8"/>
      <c r="K20" s="8"/>
      <c r="L20" s="8"/>
    </row>
    <row r="21" spans="1:12" x14ac:dyDescent="0.3">
      <c r="B21" s="11"/>
      <c r="C21" s="12"/>
      <c r="D21" s="12"/>
      <c r="E21" s="12"/>
      <c r="F21" s="12"/>
      <c r="G21" s="12"/>
      <c r="I21" s="8"/>
      <c r="J21" s="8"/>
      <c r="K21" s="8"/>
      <c r="L21" s="8"/>
    </row>
    <row r="22" spans="1:12" x14ac:dyDescent="0.3">
      <c r="B22" s="11"/>
      <c r="C22" s="17" t="s">
        <v>2</v>
      </c>
      <c r="D22" s="17" t="s">
        <v>3</v>
      </c>
      <c r="E22" s="17" t="s">
        <v>4</v>
      </c>
      <c r="F22" s="17" t="s">
        <v>5</v>
      </c>
      <c r="G22" s="17" t="s">
        <v>6</v>
      </c>
      <c r="I22" s="8"/>
      <c r="J22" s="8"/>
      <c r="K22" s="8"/>
      <c r="L22" s="8"/>
    </row>
    <row r="23" spans="1:12" x14ac:dyDescent="0.3">
      <c r="B23" s="13" t="s">
        <v>7</v>
      </c>
      <c r="C23" s="43">
        <f>NPV(F5,C9:C18)+C8</f>
        <v>27569.95025504427</v>
      </c>
      <c r="D23" s="15">
        <f>NPV(F5,D9:D18)+D8</f>
        <v>-299245.62142777839</v>
      </c>
      <c r="E23" s="15">
        <f>NPV(F5,E9:E13)+E8</f>
        <v>11526.977967361687</v>
      </c>
      <c r="F23" s="15">
        <f>NPV(F5,F9:F10)+F8</f>
        <v>5967.0927194406977</v>
      </c>
      <c r="G23" s="15">
        <f>NPV(F5,G9:G13)+G8</f>
        <v>-35213.012774276431</v>
      </c>
      <c r="I23" s="8"/>
      <c r="J23" s="8"/>
      <c r="K23" s="8"/>
      <c r="L23" s="8"/>
    </row>
    <row r="24" spans="1:12" x14ac:dyDescent="0.3">
      <c r="A24" s="42"/>
      <c r="B24" s="42"/>
      <c r="C24" s="36">
        <v>1</v>
      </c>
      <c r="D24" s="36">
        <v>5</v>
      </c>
      <c r="E24" s="36">
        <v>2</v>
      </c>
      <c r="F24" s="36">
        <v>3</v>
      </c>
      <c r="G24" s="36">
        <v>4</v>
      </c>
      <c r="I24" s="8"/>
      <c r="J24" s="8"/>
      <c r="K24" s="8"/>
      <c r="L24" s="8"/>
    </row>
    <row r="25" spans="1:12" x14ac:dyDescent="0.3">
      <c r="A25" s="42"/>
      <c r="B25" s="42"/>
      <c r="C25" s="42"/>
      <c r="D25" s="42"/>
      <c r="E25" s="42"/>
      <c r="F25" s="42"/>
      <c r="G25" s="42"/>
      <c r="H25" s="42"/>
      <c r="I25" s="8"/>
      <c r="J25" s="8"/>
      <c r="K25" s="8"/>
      <c r="L25" s="8"/>
    </row>
    <row r="26" spans="1:12" x14ac:dyDescent="0.3">
      <c r="A26" s="42"/>
      <c r="B26" s="42" t="s">
        <v>45</v>
      </c>
      <c r="C26" s="42"/>
      <c r="D26" s="42"/>
      <c r="E26" s="42"/>
      <c r="F26" s="42"/>
      <c r="G26" s="42"/>
      <c r="H26" s="42"/>
      <c r="I26" s="8"/>
      <c r="J26" s="8"/>
      <c r="K26" s="8"/>
      <c r="L26" s="8"/>
    </row>
    <row r="27" spans="1:12" x14ac:dyDescent="0.3">
      <c r="A27" s="42"/>
      <c r="B27" s="42"/>
      <c r="C27" s="42"/>
      <c r="D27" s="42"/>
      <c r="E27" s="42"/>
      <c r="F27" s="42"/>
      <c r="G27" s="42"/>
      <c r="H27" s="42"/>
      <c r="I27" s="8"/>
      <c r="J27" s="8"/>
      <c r="K27" s="8"/>
      <c r="L27" s="8"/>
    </row>
    <row r="28" spans="1:12" x14ac:dyDescent="0.3">
      <c r="A28" s="42"/>
      <c r="B28" s="42"/>
      <c r="C28" s="41" t="s">
        <v>2</v>
      </c>
      <c r="D28" s="41" t="s">
        <v>3</v>
      </c>
      <c r="E28" s="41" t="s">
        <v>4</v>
      </c>
      <c r="F28" s="41" t="s">
        <v>5</v>
      </c>
      <c r="G28" s="41" t="s">
        <v>6</v>
      </c>
      <c r="I28" s="8"/>
      <c r="J28" s="8"/>
      <c r="K28" s="8"/>
      <c r="L28" s="8"/>
    </row>
    <row r="29" spans="1:12" x14ac:dyDescent="0.3">
      <c r="B29" s="13" t="s">
        <v>8</v>
      </c>
      <c r="C29" s="65">
        <f>IRR(C8:C18)</f>
        <v>0.19473808422098338</v>
      </c>
      <c r="D29" s="16">
        <f>IRR(D8:D18)</f>
        <v>0.14738085161917169</v>
      </c>
      <c r="E29" s="65">
        <f>IRR(E8:E13)</f>
        <v>0.19857709787320132</v>
      </c>
      <c r="F29" s="44">
        <f>IRR(F8:F10)</f>
        <v>0.20000000000000018</v>
      </c>
      <c r="G29" s="16">
        <f>IRR(G8:G13)</f>
        <v>0.17432326005712007</v>
      </c>
      <c r="I29" s="8"/>
    </row>
    <row r="30" spans="1:12" x14ac:dyDescent="0.3">
      <c r="A30" s="42"/>
      <c r="C30" s="36">
        <v>3</v>
      </c>
      <c r="D30" s="36">
        <v>5</v>
      </c>
      <c r="E30" s="36">
        <v>2</v>
      </c>
      <c r="F30" s="36">
        <v>1</v>
      </c>
      <c r="G30" s="36">
        <v>4</v>
      </c>
      <c r="I30" s="8"/>
    </row>
    <row r="32" spans="1:12" x14ac:dyDescent="0.3">
      <c r="B32" s="42" t="s">
        <v>46</v>
      </c>
    </row>
    <row r="33" spans="2:13" x14ac:dyDescent="0.3">
      <c r="B33" s="13" t="s">
        <v>1</v>
      </c>
      <c r="C33" s="13">
        <v>0</v>
      </c>
      <c r="D33" s="13">
        <v>1</v>
      </c>
      <c r="E33" s="13">
        <v>2</v>
      </c>
      <c r="F33" s="13">
        <v>3</v>
      </c>
      <c r="G33" s="13">
        <v>4</v>
      </c>
      <c r="H33" s="13">
        <v>5</v>
      </c>
      <c r="I33" s="13">
        <v>6</v>
      </c>
      <c r="J33" s="13">
        <v>7</v>
      </c>
      <c r="K33" s="13">
        <v>8</v>
      </c>
      <c r="L33" s="13">
        <v>9</v>
      </c>
      <c r="M33" s="13">
        <v>10</v>
      </c>
    </row>
    <row r="34" spans="2:13" x14ac:dyDescent="0.3">
      <c r="B34" s="14" t="s">
        <v>2</v>
      </c>
      <c r="C34" s="15">
        <f>C8</f>
        <v>-1500000</v>
      </c>
      <c r="D34" s="15">
        <f>C9</f>
        <v>280000</v>
      </c>
      <c r="E34" s="15">
        <f>C10</f>
        <v>303000</v>
      </c>
      <c r="F34" s="15">
        <f>C11</f>
        <v>326000</v>
      </c>
      <c r="G34" s="15">
        <f>C12</f>
        <v>349000</v>
      </c>
      <c r="H34" s="15">
        <f>C13</f>
        <v>372000</v>
      </c>
      <c r="I34" s="15">
        <f>C14</f>
        <v>395000</v>
      </c>
      <c r="J34" s="15">
        <f>C15</f>
        <v>418000</v>
      </c>
      <c r="K34" s="15">
        <f>C16</f>
        <v>441000</v>
      </c>
      <c r="L34" s="15">
        <f>C17</f>
        <v>464000</v>
      </c>
      <c r="M34" s="15">
        <f>C18</f>
        <v>487000</v>
      </c>
    </row>
    <row r="35" spans="2:13" x14ac:dyDescent="0.3">
      <c r="B35" s="14" t="s">
        <v>3</v>
      </c>
      <c r="C35" s="15">
        <f>D8</f>
        <v>-1900000</v>
      </c>
      <c r="D35" s="15">
        <f>D9</f>
        <v>300000</v>
      </c>
      <c r="E35" s="15">
        <f>D10</f>
        <v>322000</v>
      </c>
      <c r="F35" s="15">
        <f>D11</f>
        <v>344000</v>
      </c>
      <c r="G35" s="15">
        <f>D12</f>
        <v>366000</v>
      </c>
      <c r="H35" s="15">
        <f>D13</f>
        <v>388000</v>
      </c>
      <c r="I35" s="15">
        <f>D14</f>
        <v>410000</v>
      </c>
      <c r="J35" s="15">
        <f>D15</f>
        <v>432000</v>
      </c>
      <c r="K35" s="15">
        <f>D16</f>
        <v>454000</v>
      </c>
      <c r="L35" s="15">
        <f>D17</f>
        <v>476000</v>
      </c>
      <c r="M35" s="15">
        <f>D18</f>
        <v>498000</v>
      </c>
    </row>
    <row r="36" spans="2:13" x14ac:dyDescent="0.3">
      <c r="B36" s="14" t="s">
        <v>4</v>
      </c>
      <c r="C36" s="15">
        <f>E8</f>
        <v>-600000</v>
      </c>
      <c r="D36" s="15">
        <f>E9</f>
        <v>200000</v>
      </c>
      <c r="E36" s="15">
        <f>E10</f>
        <v>200000</v>
      </c>
      <c r="F36" s="15">
        <f>E11</f>
        <v>200000</v>
      </c>
      <c r="G36" s="15">
        <f>E12</f>
        <v>200000</v>
      </c>
      <c r="H36" s="15">
        <f>E13</f>
        <v>200000</v>
      </c>
      <c r="I36" s="15"/>
      <c r="J36" s="15"/>
      <c r="K36" s="15"/>
      <c r="L36" s="15"/>
      <c r="M36" s="15"/>
    </row>
    <row r="37" spans="2:13" x14ac:dyDescent="0.3">
      <c r="B37" s="14" t="s">
        <v>5</v>
      </c>
      <c r="C37" s="15">
        <f>F8</f>
        <v>-500000</v>
      </c>
      <c r="D37" s="15">
        <f>F9</f>
        <v>350000</v>
      </c>
      <c r="E37" s="15">
        <f>F10</f>
        <v>300000</v>
      </c>
      <c r="F37" s="15"/>
      <c r="G37" s="15"/>
      <c r="H37" s="15"/>
      <c r="I37" s="15"/>
      <c r="J37" s="15"/>
      <c r="K37" s="15"/>
      <c r="L37" s="15"/>
      <c r="M37" s="15"/>
    </row>
    <row r="38" spans="2:13" x14ac:dyDescent="0.3">
      <c r="B38" s="14" t="s">
        <v>6</v>
      </c>
      <c r="C38" s="15">
        <f>G8</f>
        <v>-900000</v>
      </c>
      <c r="D38" s="15">
        <f>G9</f>
        <v>200000</v>
      </c>
      <c r="E38" s="15">
        <f>G10</f>
        <v>250000</v>
      </c>
      <c r="F38" s="15">
        <f>G11</f>
        <v>300000</v>
      </c>
      <c r="G38" s="15">
        <f>G12</f>
        <v>350000</v>
      </c>
      <c r="H38" s="15">
        <f>G13</f>
        <v>400000</v>
      </c>
      <c r="I38" s="15"/>
      <c r="J38" s="15"/>
      <c r="K38" s="15"/>
      <c r="L38" s="15"/>
      <c r="M38" s="15"/>
    </row>
    <row r="39" spans="2:13" x14ac:dyDescent="0.3"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</row>
    <row r="40" spans="2:13" x14ac:dyDescent="0.3">
      <c r="B40" s="3" t="s">
        <v>69</v>
      </c>
      <c r="C40" s="45"/>
      <c r="D40" s="45"/>
      <c r="E40" s="45"/>
      <c r="H40" s="12"/>
      <c r="I40" s="12"/>
      <c r="J40" s="12"/>
      <c r="K40" s="12"/>
      <c r="L40" s="12"/>
      <c r="M40" s="12"/>
    </row>
    <row r="41" spans="2:13" x14ac:dyDescent="0.3">
      <c r="H41" s="12"/>
      <c r="I41" s="12"/>
      <c r="J41" s="12"/>
      <c r="K41" s="12"/>
      <c r="L41" s="12"/>
      <c r="M41" s="12"/>
    </row>
    <row r="42" spans="2:13" x14ac:dyDescent="0.3">
      <c r="B42" s="49" t="s">
        <v>70</v>
      </c>
      <c r="C42" s="46"/>
      <c r="D42" s="46"/>
      <c r="E42" s="46"/>
      <c r="H42" s="12"/>
      <c r="I42" s="12"/>
      <c r="J42" s="12"/>
      <c r="K42" s="12"/>
      <c r="L42" s="12"/>
      <c r="M42" s="12"/>
    </row>
    <row r="43" spans="2:13" x14ac:dyDescent="0.3">
      <c r="B43" s="40" t="s">
        <v>53</v>
      </c>
      <c r="C43" s="47">
        <v>10</v>
      </c>
      <c r="D43" s="47">
        <v>10</v>
      </c>
      <c r="E43" s="47">
        <v>5</v>
      </c>
      <c r="F43" s="47">
        <v>2</v>
      </c>
      <c r="G43" s="47">
        <v>5</v>
      </c>
      <c r="H43" s="12"/>
      <c r="I43" s="12"/>
      <c r="J43" s="12"/>
      <c r="K43" s="12"/>
      <c r="L43" s="12"/>
      <c r="M43" s="12"/>
    </row>
    <row r="44" spans="2:13" x14ac:dyDescent="0.3">
      <c r="H44" s="12"/>
      <c r="I44" s="12"/>
      <c r="J44" s="12"/>
      <c r="K44" s="12"/>
      <c r="L44" s="12"/>
      <c r="M44" s="12"/>
    </row>
    <row r="45" spans="2:13" x14ac:dyDescent="0.3">
      <c r="B45" s="49" t="s">
        <v>71</v>
      </c>
      <c r="C45" s="46"/>
      <c r="D45" s="46"/>
      <c r="E45" s="46"/>
      <c r="H45" s="12"/>
      <c r="I45" s="12"/>
      <c r="J45" s="12"/>
      <c r="K45" s="12"/>
      <c r="L45" s="12"/>
      <c r="M45" s="12"/>
    </row>
    <row r="46" spans="2:13" x14ac:dyDescent="0.3">
      <c r="B46" s="40" t="s">
        <v>54</v>
      </c>
      <c r="C46" s="48">
        <f>LCM(C43:G43)</f>
        <v>10</v>
      </c>
      <c r="H46" s="12"/>
      <c r="I46" s="12"/>
      <c r="J46" s="12"/>
      <c r="K46" s="12"/>
      <c r="L46" s="12"/>
      <c r="M46" s="12"/>
    </row>
    <row r="47" spans="2:13" x14ac:dyDescent="0.3">
      <c r="H47" s="12"/>
      <c r="I47" s="12"/>
      <c r="J47" s="12"/>
      <c r="K47" s="12"/>
      <c r="L47" s="12"/>
      <c r="M47" s="12"/>
    </row>
    <row r="48" spans="2:13" x14ac:dyDescent="0.3">
      <c r="B48" s="49" t="s">
        <v>72</v>
      </c>
      <c r="C48" s="46"/>
      <c r="D48" s="46"/>
      <c r="H48" s="12"/>
      <c r="I48" s="12"/>
      <c r="J48" s="12"/>
      <c r="K48" s="12"/>
      <c r="L48" s="12"/>
      <c r="M48" s="12"/>
    </row>
    <row r="49" spans="2:14" x14ac:dyDescent="0.3">
      <c r="B49" s="14" t="s">
        <v>2</v>
      </c>
      <c r="C49" s="52" t="s">
        <v>47</v>
      </c>
      <c r="D49" s="53" t="s">
        <v>48</v>
      </c>
      <c r="H49" s="12"/>
      <c r="I49" s="12"/>
      <c r="J49" s="12"/>
      <c r="K49" s="12"/>
      <c r="L49" s="12"/>
      <c r="M49" s="12"/>
    </row>
    <row r="50" spans="2:14" x14ac:dyDescent="0.3">
      <c r="B50" s="14" t="s">
        <v>3</v>
      </c>
      <c r="C50" s="52" t="s">
        <v>47</v>
      </c>
      <c r="D50" s="53" t="s">
        <v>48</v>
      </c>
      <c r="H50" s="12"/>
      <c r="I50" s="12"/>
      <c r="J50" s="12"/>
      <c r="K50" s="12"/>
      <c r="L50" s="12"/>
      <c r="M50" s="12"/>
    </row>
    <row r="51" spans="2:14" x14ac:dyDescent="0.3">
      <c r="B51" s="14" t="s">
        <v>4</v>
      </c>
      <c r="C51" s="52" t="s">
        <v>49</v>
      </c>
      <c r="D51" s="53" t="s">
        <v>50</v>
      </c>
      <c r="H51" s="12"/>
      <c r="I51" s="12"/>
      <c r="J51" s="12"/>
      <c r="K51" s="12"/>
      <c r="L51" s="12"/>
      <c r="M51" s="12"/>
    </row>
    <row r="52" spans="2:14" x14ac:dyDescent="0.3">
      <c r="B52" s="14" t="s">
        <v>5</v>
      </c>
      <c r="C52" s="52" t="s">
        <v>51</v>
      </c>
      <c r="D52" s="53" t="s">
        <v>52</v>
      </c>
      <c r="H52" s="12"/>
      <c r="I52" s="12"/>
      <c r="J52" s="12"/>
      <c r="K52" s="12"/>
      <c r="L52" s="12"/>
      <c r="M52" s="12"/>
    </row>
    <row r="53" spans="2:14" x14ac:dyDescent="0.3">
      <c r="B53" s="14" t="s">
        <v>6</v>
      </c>
      <c r="C53" s="52" t="s">
        <v>49</v>
      </c>
      <c r="D53" s="53" t="s">
        <v>50</v>
      </c>
      <c r="H53" s="12"/>
      <c r="I53" s="12"/>
      <c r="J53" s="12"/>
      <c r="K53" s="12"/>
      <c r="L53" s="12"/>
      <c r="M53" s="12"/>
    </row>
    <row r="54" spans="2:14" x14ac:dyDescent="0.3">
      <c r="H54" s="12"/>
      <c r="I54" s="12"/>
      <c r="J54" s="12"/>
      <c r="K54" s="12"/>
      <c r="L54" s="12"/>
      <c r="M54" s="12"/>
    </row>
    <row r="55" spans="2:14" x14ac:dyDescent="0.3">
      <c r="B55" s="49" t="s">
        <v>73</v>
      </c>
    </row>
    <row r="56" spans="2:14" x14ac:dyDescent="0.3">
      <c r="B56" s="108" t="str">
        <f>B49</f>
        <v>PROYECTO 1</v>
      </c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</row>
    <row r="57" spans="2:14" x14ac:dyDescent="0.3">
      <c r="B57" s="54" t="s">
        <v>1</v>
      </c>
      <c r="C57" s="27">
        <v>0</v>
      </c>
      <c r="D57" s="27">
        <v>1</v>
      </c>
      <c r="E57" s="27">
        <v>2</v>
      </c>
      <c r="F57" s="27">
        <v>3</v>
      </c>
      <c r="G57" s="27">
        <v>4</v>
      </c>
      <c r="H57" s="27">
        <v>5</v>
      </c>
      <c r="I57" s="27">
        <v>6</v>
      </c>
      <c r="J57" s="27">
        <v>7</v>
      </c>
      <c r="K57" s="27">
        <v>8</v>
      </c>
      <c r="L57" s="27">
        <v>9</v>
      </c>
      <c r="M57" s="27">
        <v>10</v>
      </c>
    </row>
    <row r="58" spans="2:14" x14ac:dyDescent="0.3">
      <c r="B58" s="54" t="s">
        <v>11</v>
      </c>
      <c r="C58" s="22">
        <f>C34</f>
        <v>-1500000</v>
      </c>
      <c r="D58" s="22"/>
      <c r="E58" s="22"/>
      <c r="F58" s="22"/>
      <c r="G58" s="22"/>
      <c r="H58" s="22"/>
      <c r="I58" s="22"/>
      <c r="J58" s="22"/>
      <c r="K58" s="22"/>
      <c r="L58" s="22"/>
      <c r="M58" s="22"/>
    </row>
    <row r="59" spans="2:14" x14ac:dyDescent="0.3">
      <c r="B59" s="54" t="s">
        <v>10</v>
      </c>
      <c r="C59" s="22"/>
      <c r="D59" s="22">
        <f t="shared" ref="D59:M59" si="0">D34</f>
        <v>280000</v>
      </c>
      <c r="E59" s="22">
        <f t="shared" si="0"/>
        <v>303000</v>
      </c>
      <c r="F59" s="22">
        <f t="shared" si="0"/>
        <v>326000</v>
      </c>
      <c r="G59" s="22">
        <f t="shared" si="0"/>
        <v>349000</v>
      </c>
      <c r="H59" s="22">
        <f t="shared" si="0"/>
        <v>372000</v>
      </c>
      <c r="I59" s="22">
        <f t="shared" si="0"/>
        <v>395000</v>
      </c>
      <c r="J59" s="22">
        <f t="shared" si="0"/>
        <v>418000</v>
      </c>
      <c r="K59" s="22">
        <f t="shared" si="0"/>
        <v>441000</v>
      </c>
      <c r="L59" s="22">
        <f t="shared" si="0"/>
        <v>464000</v>
      </c>
      <c r="M59" s="22">
        <f t="shared" si="0"/>
        <v>487000</v>
      </c>
      <c r="N59" s="7"/>
    </row>
    <row r="60" spans="2:14" x14ac:dyDescent="0.3">
      <c r="B60" s="55" t="s">
        <v>9</v>
      </c>
      <c r="C60" s="56">
        <f>SUM(C58:C59)</f>
        <v>-1500000</v>
      </c>
      <c r="D60" s="56">
        <f t="shared" ref="D60:M60" si="1">SUM(D58:D59)</f>
        <v>280000</v>
      </c>
      <c r="E60" s="56">
        <f t="shared" si="1"/>
        <v>303000</v>
      </c>
      <c r="F60" s="56">
        <f t="shared" si="1"/>
        <v>326000</v>
      </c>
      <c r="G60" s="56">
        <f t="shared" si="1"/>
        <v>349000</v>
      </c>
      <c r="H60" s="56">
        <f t="shared" si="1"/>
        <v>372000</v>
      </c>
      <c r="I60" s="56">
        <f t="shared" si="1"/>
        <v>395000</v>
      </c>
      <c r="J60" s="56">
        <f t="shared" si="1"/>
        <v>418000</v>
      </c>
      <c r="K60" s="56">
        <f t="shared" si="1"/>
        <v>441000</v>
      </c>
      <c r="L60" s="56">
        <f t="shared" si="1"/>
        <v>464000</v>
      </c>
      <c r="M60" s="56">
        <f t="shared" si="1"/>
        <v>487000</v>
      </c>
    </row>
    <row r="61" spans="2:14" x14ac:dyDescent="0.3">
      <c r="B61" s="4"/>
      <c r="D61" s="5"/>
      <c r="E61" s="5"/>
      <c r="F61" s="5"/>
      <c r="G61" s="5"/>
      <c r="H61" s="5"/>
      <c r="I61" s="5"/>
      <c r="J61" s="5"/>
      <c r="K61" s="5"/>
      <c r="L61" s="5"/>
      <c r="M61" s="5"/>
    </row>
    <row r="62" spans="2:14" x14ac:dyDescent="0.3">
      <c r="B62" s="108" t="str">
        <f>B50</f>
        <v>PROYECTO 2</v>
      </c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</row>
    <row r="63" spans="2:14" x14ac:dyDescent="0.3">
      <c r="B63" s="54" t="s">
        <v>1</v>
      </c>
      <c r="C63" s="27">
        <v>0</v>
      </c>
      <c r="D63" s="27">
        <v>1</v>
      </c>
      <c r="E63" s="27">
        <v>2</v>
      </c>
      <c r="F63" s="27">
        <v>3</v>
      </c>
      <c r="G63" s="27">
        <v>4</v>
      </c>
      <c r="H63" s="27">
        <v>5</v>
      </c>
      <c r="I63" s="27">
        <v>6</v>
      </c>
      <c r="J63" s="27">
        <v>7</v>
      </c>
      <c r="K63" s="27">
        <v>8</v>
      </c>
      <c r="L63" s="27">
        <v>9</v>
      </c>
      <c r="M63" s="27">
        <v>10</v>
      </c>
    </row>
    <row r="64" spans="2:14" x14ac:dyDescent="0.3">
      <c r="B64" s="54" t="s">
        <v>11</v>
      </c>
      <c r="C64" s="22">
        <f>C35</f>
        <v>-1900000</v>
      </c>
      <c r="D64" s="22"/>
      <c r="E64" s="22"/>
      <c r="F64" s="22"/>
      <c r="G64" s="22"/>
      <c r="H64" s="22"/>
      <c r="I64" s="22"/>
      <c r="J64" s="22"/>
      <c r="K64" s="22"/>
      <c r="L64" s="22"/>
      <c r="M64" s="22"/>
    </row>
    <row r="65" spans="2:13" x14ac:dyDescent="0.3">
      <c r="B65" s="54" t="s">
        <v>12</v>
      </c>
      <c r="C65" s="22"/>
      <c r="D65" s="22">
        <f t="shared" ref="D65:M65" si="2">D35</f>
        <v>300000</v>
      </c>
      <c r="E65" s="22">
        <f t="shared" si="2"/>
        <v>322000</v>
      </c>
      <c r="F65" s="22">
        <f t="shared" si="2"/>
        <v>344000</v>
      </c>
      <c r="G65" s="22">
        <f t="shared" si="2"/>
        <v>366000</v>
      </c>
      <c r="H65" s="22">
        <f t="shared" si="2"/>
        <v>388000</v>
      </c>
      <c r="I65" s="22">
        <f t="shared" si="2"/>
        <v>410000</v>
      </c>
      <c r="J65" s="22">
        <f t="shared" si="2"/>
        <v>432000</v>
      </c>
      <c r="K65" s="22">
        <f t="shared" si="2"/>
        <v>454000</v>
      </c>
      <c r="L65" s="22">
        <f t="shared" si="2"/>
        <v>476000</v>
      </c>
      <c r="M65" s="22">
        <f t="shared" si="2"/>
        <v>498000</v>
      </c>
    </row>
    <row r="66" spans="2:13" x14ac:dyDescent="0.3">
      <c r="B66" s="55" t="s">
        <v>14</v>
      </c>
      <c r="C66" s="56">
        <f>SUM(C64:C65)</f>
        <v>-1900000</v>
      </c>
      <c r="D66" s="56">
        <f t="shared" ref="D66:M66" si="3">SUM(D64:D65)</f>
        <v>300000</v>
      </c>
      <c r="E66" s="56">
        <f t="shared" si="3"/>
        <v>322000</v>
      </c>
      <c r="F66" s="56">
        <f t="shared" si="3"/>
        <v>344000</v>
      </c>
      <c r="G66" s="56">
        <f t="shared" si="3"/>
        <v>366000</v>
      </c>
      <c r="H66" s="56">
        <f t="shared" si="3"/>
        <v>388000</v>
      </c>
      <c r="I66" s="56">
        <f t="shared" si="3"/>
        <v>410000</v>
      </c>
      <c r="J66" s="56">
        <f t="shared" si="3"/>
        <v>432000</v>
      </c>
      <c r="K66" s="56">
        <f t="shared" si="3"/>
        <v>454000</v>
      </c>
      <c r="L66" s="56">
        <f t="shared" si="3"/>
        <v>476000</v>
      </c>
      <c r="M66" s="56">
        <f t="shared" si="3"/>
        <v>498000</v>
      </c>
    </row>
    <row r="67" spans="2:13" x14ac:dyDescent="0.3">
      <c r="B67" s="4"/>
      <c r="D67" s="5"/>
      <c r="E67" s="5"/>
      <c r="F67" s="5"/>
      <c r="G67" s="5"/>
      <c r="H67" s="5"/>
      <c r="I67" s="5"/>
      <c r="J67" s="5"/>
      <c r="K67" s="5"/>
      <c r="L67" s="5"/>
      <c r="M67" s="5"/>
    </row>
    <row r="68" spans="2:13" x14ac:dyDescent="0.3">
      <c r="B68" s="108" t="str">
        <f>B51</f>
        <v>PROYECTO 3</v>
      </c>
      <c r="C68" s="108"/>
      <c r="D68" s="108"/>
      <c r="E68" s="108"/>
      <c r="F68" s="108"/>
      <c r="G68" s="108"/>
      <c r="H68" s="108"/>
      <c r="I68" s="108"/>
      <c r="J68" s="108"/>
      <c r="K68" s="108"/>
      <c r="L68" s="108"/>
      <c r="M68" s="108"/>
    </row>
    <row r="69" spans="2:13" x14ac:dyDescent="0.3">
      <c r="B69" s="54" t="s">
        <v>1</v>
      </c>
      <c r="C69" s="27">
        <v>0</v>
      </c>
      <c r="D69" s="27">
        <v>1</v>
      </c>
      <c r="E69" s="27">
        <v>2</v>
      </c>
      <c r="F69" s="27">
        <v>3</v>
      </c>
      <c r="G69" s="27">
        <v>4</v>
      </c>
      <c r="H69" s="27">
        <v>5</v>
      </c>
      <c r="I69" s="27">
        <v>6</v>
      </c>
      <c r="J69" s="27">
        <v>7</v>
      </c>
      <c r="K69" s="27">
        <v>8</v>
      </c>
      <c r="L69" s="27">
        <v>9</v>
      </c>
      <c r="M69" s="27">
        <v>10</v>
      </c>
    </row>
    <row r="70" spans="2:13" x14ac:dyDescent="0.3">
      <c r="B70" s="54" t="s">
        <v>11</v>
      </c>
      <c r="C70" s="22">
        <f>C36</f>
        <v>-600000</v>
      </c>
      <c r="D70" s="57"/>
      <c r="E70" s="57"/>
      <c r="F70" s="57"/>
      <c r="G70" s="57"/>
      <c r="H70" s="57"/>
      <c r="I70" s="57"/>
      <c r="J70" s="57"/>
      <c r="K70" s="57"/>
      <c r="L70" s="57"/>
      <c r="M70" s="57"/>
    </row>
    <row r="71" spans="2:13" x14ac:dyDescent="0.3">
      <c r="B71" s="109" t="s">
        <v>12</v>
      </c>
      <c r="C71" s="22"/>
      <c r="D71" s="22">
        <f>D36</f>
        <v>200000</v>
      </c>
      <c r="E71" s="22">
        <f>E36</f>
        <v>200000</v>
      </c>
      <c r="F71" s="22">
        <f>F36</f>
        <v>200000</v>
      </c>
      <c r="G71" s="22">
        <f>G36</f>
        <v>200000</v>
      </c>
      <c r="H71" s="22">
        <f>H36</f>
        <v>200000</v>
      </c>
      <c r="I71" s="22"/>
      <c r="J71" s="22"/>
      <c r="K71" s="22"/>
      <c r="L71" s="22"/>
      <c r="M71" s="22"/>
    </row>
    <row r="72" spans="2:13" x14ac:dyDescent="0.3">
      <c r="B72" s="110"/>
      <c r="C72" s="22"/>
      <c r="D72" s="22"/>
      <c r="E72" s="22"/>
      <c r="F72" s="22"/>
      <c r="G72" s="22"/>
      <c r="H72" s="22">
        <f t="shared" ref="H72:M72" si="4">C36</f>
        <v>-600000</v>
      </c>
      <c r="I72" s="22">
        <f t="shared" si="4"/>
        <v>200000</v>
      </c>
      <c r="J72" s="22">
        <f t="shared" si="4"/>
        <v>200000</v>
      </c>
      <c r="K72" s="22">
        <f t="shared" si="4"/>
        <v>200000</v>
      </c>
      <c r="L72" s="22">
        <f t="shared" si="4"/>
        <v>200000</v>
      </c>
      <c r="M72" s="22">
        <f t="shared" si="4"/>
        <v>200000</v>
      </c>
    </row>
    <row r="73" spans="2:13" x14ac:dyDescent="0.3">
      <c r="B73" s="55" t="s">
        <v>13</v>
      </c>
      <c r="C73" s="56">
        <f>SUM(C70:C72)</f>
        <v>-600000</v>
      </c>
      <c r="D73" s="56">
        <f t="shared" ref="D73:M73" si="5">SUM(D70:D72)</f>
        <v>200000</v>
      </c>
      <c r="E73" s="56">
        <f t="shared" si="5"/>
        <v>200000</v>
      </c>
      <c r="F73" s="56">
        <f t="shared" si="5"/>
        <v>200000</v>
      </c>
      <c r="G73" s="56">
        <f t="shared" si="5"/>
        <v>200000</v>
      </c>
      <c r="H73" s="56">
        <f t="shared" si="5"/>
        <v>-400000</v>
      </c>
      <c r="I73" s="56">
        <f t="shared" si="5"/>
        <v>200000</v>
      </c>
      <c r="J73" s="56">
        <f t="shared" si="5"/>
        <v>200000</v>
      </c>
      <c r="K73" s="56">
        <f t="shared" si="5"/>
        <v>200000</v>
      </c>
      <c r="L73" s="56">
        <f t="shared" si="5"/>
        <v>200000</v>
      </c>
      <c r="M73" s="56">
        <f t="shared" si="5"/>
        <v>200000</v>
      </c>
    </row>
    <row r="75" spans="2:13" x14ac:dyDescent="0.3">
      <c r="B75" s="108" t="str">
        <f>B52</f>
        <v>PROYECTO 4</v>
      </c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</row>
    <row r="76" spans="2:13" x14ac:dyDescent="0.3">
      <c r="B76" s="54" t="s">
        <v>1</v>
      </c>
      <c r="C76" s="27">
        <v>0</v>
      </c>
      <c r="D76" s="27">
        <v>1</v>
      </c>
      <c r="E76" s="27">
        <v>2</v>
      </c>
      <c r="F76" s="27">
        <v>3</v>
      </c>
      <c r="G76" s="27">
        <v>4</v>
      </c>
      <c r="H76" s="27">
        <v>5</v>
      </c>
      <c r="I76" s="27">
        <v>6</v>
      </c>
      <c r="J76" s="27">
        <v>7</v>
      </c>
      <c r="K76" s="27">
        <v>8</v>
      </c>
      <c r="L76" s="27">
        <v>9</v>
      </c>
      <c r="M76" s="27">
        <v>10</v>
      </c>
    </row>
    <row r="77" spans="2:13" x14ac:dyDescent="0.3">
      <c r="B77" s="54" t="s">
        <v>11</v>
      </c>
      <c r="C77" s="22">
        <f>C37</f>
        <v>-500000</v>
      </c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2:13" x14ac:dyDescent="0.3">
      <c r="B78" s="111" t="s">
        <v>12</v>
      </c>
      <c r="C78" s="22"/>
      <c r="D78" s="22">
        <f>D37</f>
        <v>350000</v>
      </c>
      <c r="E78" s="22">
        <f>E37</f>
        <v>300000</v>
      </c>
      <c r="F78" s="22"/>
      <c r="G78" s="22"/>
      <c r="H78" s="22"/>
      <c r="I78" s="22"/>
      <c r="J78" s="22"/>
      <c r="K78" s="22"/>
      <c r="L78" s="22"/>
      <c r="M78" s="22"/>
    </row>
    <row r="79" spans="2:13" x14ac:dyDescent="0.3">
      <c r="B79" s="111"/>
      <c r="C79" s="22"/>
      <c r="D79" s="22"/>
      <c r="E79" s="22">
        <f>C37</f>
        <v>-500000</v>
      </c>
      <c r="F79" s="22">
        <f>D37</f>
        <v>350000</v>
      </c>
      <c r="G79" s="22">
        <f>E37</f>
        <v>300000</v>
      </c>
      <c r="H79" s="22"/>
      <c r="I79" s="22"/>
      <c r="J79" s="22"/>
      <c r="K79" s="22"/>
      <c r="L79" s="22"/>
      <c r="M79" s="22"/>
    </row>
    <row r="80" spans="2:13" x14ac:dyDescent="0.3">
      <c r="B80" s="111"/>
      <c r="C80" s="22"/>
      <c r="D80" s="22"/>
      <c r="E80" s="22"/>
      <c r="F80" s="22"/>
      <c r="G80" s="22">
        <f>C37</f>
        <v>-500000</v>
      </c>
      <c r="H80" s="22">
        <f>D37</f>
        <v>350000</v>
      </c>
      <c r="I80" s="22">
        <f>E37</f>
        <v>300000</v>
      </c>
      <c r="J80" s="22"/>
      <c r="K80" s="22"/>
      <c r="L80" s="22"/>
      <c r="M80" s="22"/>
    </row>
    <row r="81" spans="2:25" x14ac:dyDescent="0.3">
      <c r="B81" s="111"/>
      <c r="C81" s="22"/>
      <c r="D81" s="22"/>
      <c r="E81" s="22"/>
      <c r="F81" s="22"/>
      <c r="G81" s="22"/>
      <c r="H81" s="22"/>
      <c r="I81" s="22">
        <f>C37</f>
        <v>-500000</v>
      </c>
      <c r="J81" s="22">
        <f>D37</f>
        <v>350000</v>
      </c>
      <c r="K81" s="22">
        <f>E37</f>
        <v>300000</v>
      </c>
      <c r="L81" s="22"/>
      <c r="M81" s="22"/>
    </row>
    <row r="82" spans="2:25" x14ac:dyDescent="0.3">
      <c r="B82" s="111"/>
      <c r="C82" s="22"/>
      <c r="D82" s="22"/>
      <c r="E82" s="22"/>
      <c r="F82" s="22"/>
      <c r="G82" s="22"/>
      <c r="H82" s="22"/>
      <c r="I82" s="22"/>
      <c r="J82" s="22"/>
      <c r="K82" s="22">
        <f>C37</f>
        <v>-500000</v>
      </c>
      <c r="L82" s="22">
        <f>D37</f>
        <v>350000</v>
      </c>
      <c r="M82" s="22">
        <f>E37</f>
        <v>300000</v>
      </c>
    </row>
    <row r="83" spans="2:25" x14ac:dyDescent="0.3">
      <c r="B83" s="58" t="s">
        <v>15</v>
      </c>
      <c r="C83" s="56">
        <f>SUM(C77:C82)</f>
        <v>-500000</v>
      </c>
      <c r="D83" s="56">
        <f t="shared" ref="D83:M83" si="6">SUM(D77:D82)</f>
        <v>350000</v>
      </c>
      <c r="E83" s="56">
        <f t="shared" si="6"/>
        <v>-200000</v>
      </c>
      <c r="F83" s="56">
        <f t="shared" si="6"/>
        <v>350000</v>
      </c>
      <c r="G83" s="56">
        <f t="shared" si="6"/>
        <v>-200000</v>
      </c>
      <c r="H83" s="56">
        <f t="shared" si="6"/>
        <v>350000</v>
      </c>
      <c r="I83" s="56">
        <f t="shared" si="6"/>
        <v>-200000</v>
      </c>
      <c r="J83" s="56">
        <f t="shared" si="6"/>
        <v>350000</v>
      </c>
      <c r="K83" s="56">
        <f t="shared" si="6"/>
        <v>-200000</v>
      </c>
      <c r="L83" s="56">
        <f t="shared" si="6"/>
        <v>350000</v>
      </c>
      <c r="M83" s="56">
        <f t="shared" si="6"/>
        <v>300000</v>
      </c>
    </row>
    <row r="84" spans="2:25" x14ac:dyDescent="0.3">
      <c r="I84" s="5"/>
      <c r="J84" s="5"/>
      <c r="K84" s="5"/>
    </row>
    <row r="85" spans="2:25" x14ac:dyDescent="0.3">
      <c r="B85" s="108" t="str">
        <f>B53</f>
        <v>PROYECTO 5</v>
      </c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</row>
    <row r="86" spans="2:25" x14ac:dyDescent="0.3">
      <c r="B86" s="54" t="s">
        <v>1</v>
      </c>
      <c r="C86" s="27">
        <v>0</v>
      </c>
      <c r="D86" s="27">
        <v>1</v>
      </c>
      <c r="E86" s="27">
        <v>2</v>
      </c>
      <c r="F86" s="27">
        <v>3</v>
      </c>
      <c r="G86" s="27">
        <v>4</v>
      </c>
      <c r="H86" s="27">
        <v>5</v>
      </c>
      <c r="I86" s="27">
        <v>6</v>
      </c>
      <c r="J86" s="27">
        <v>7</v>
      </c>
      <c r="K86" s="27">
        <v>8</v>
      </c>
      <c r="L86" s="27">
        <v>9</v>
      </c>
      <c r="M86" s="27">
        <v>10</v>
      </c>
    </row>
    <row r="87" spans="2:25" x14ac:dyDescent="0.3">
      <c r="B87" s="50" t="s">
        <v>11</v>
      </c>
      <c r="C87" s="22">
        <f>C38</f>
        <v>-900000</v>
      </c>
      <c r="D87" s="22"/>
      <c r="E87" s="22"/>
      <c r="F87" s="22"/>
      <c r="G87" s="22"/>
      <c r="H87" s="22"/>
      <c r="I87" s="22"/>
      <c r="J87" s="22"/>
      <c r="K87" s="22"/>
      <c r="L87" s="22"/>
      <c r="M87" s="22"/>
    </row>
    <row r="88" spans="2:25" x14ac:dyDescent="0.3">
      <c r="B88" s="109" t="s">
        <v>55</v>
      </c>
      <c r="C88" s="22"/>
      <c r="D88" s="22">
        <f>D38</f>
        <v>200000</v>
      </c>
      <c r="E88" s="22">
        <f>E38</f>
        <v>250000</v>
      </c>
      <c r="F88" s="22">
        <f>F38</f>
        <v>300000</v>
      </c>
      <c r="G88" s="22">
        <f>G38</f>
        <v>350000</v>
      </c>
      <c r="H88" s="22">
        <f>H38</f>
        <v>400000</v>
      </c>
      <c r="I88" s="22"/>
      <c r="J88" s="22"/>
      <c r="K88" s="22"/>
      <c r="L88" s="22"/>
      <c r="M88" s="22"/>
    </row>
    <row r="89" spans="2:25" x14ac:dyDescent="0.3">
      <c r="B89" s="110"/>
      <c r="C89" s="22"/>
      <c r="D89" s="22"/>
      <c r="E89" s="22"/>
      <c r="F89" s="22"/>
      <c r="G89" s="22"/>
      <c r="H89" s="22">
        <f t="shared" ref="H89:M89" si="7">C38</f>
        <v>-900000</v>
      </c>
      <c r="I89" s="22">
        <f t="shared" si="7"/>
        <v>200000</v>
      </c>
      <c r="J89" s="22">
        <f t="shared" si="7"/>
        <v>250000</v>
      </c>
      <c r="K89" s="22">
        <f t="shared" si="7"/>
        <v>300000</v>
      </c>
      <c r="L89" s="22">
        <f t="shared" si="7"/>
        <v>350000</v>
      </c>
      <c r="M89" s="22">
        <f t="shared" si="7"/>
        <v>400000</v>
      </c>
    </row>
    <row r="90" spans="2:25" x14ac:dyDescent="0.3">
      <c r="B90" s="55" t="s">
        <v>9</v>
      </c>
      <c r="C90" s="56">
        <f>SUM(C87:C89)</f>
        <v>-900000</v>
      </c>
      <c r="D90" s="56">
        <f t="shared" ref="D90:M90" si="8">SUM(D87:D89)</f>
        <v>200000</v>
      </c>
      <c r="E90" s="56">
        <f t="shared" si="8"/>
        <v>250000</v>
      </c>
      <c r="F90" s="56">
        <f t="shared" si="8"/>
        <v>300000</v>
      </c>
      <c r="G90" s="56">
        <f t="shared" si="8"/>
        <v>350000</v>
      </c>
      <c r="H90" s="56">
        <f t="shared" si="8"/>
        <v>-500000</v>
      </c>
      <c r="I90" s="56">
        <f t="shared" si="8"/>
        <v>200000</v>
      </c>
      <c r="J90" s="56">
        <f t="shared" si="8"/>
        <v>250000</v>
      </c>
      <c r="K90" s="56">
        <f t="shared" si="8"/>
        <v>300000</v>
      </c>
      <c r="L90" s="56">
        <f t="shared" si="8"/>
        <v>350000</v>
      </c>
      <c r="M90" s="56">
        <f t="shared" si="8"/>
        <v>400000</v>
      </c>
    </row>
    <row r="92" spans="2:25" x14ac:dyDescent="0.3">
      <c r="B92" s="42" t="s">
        <v>56</v>
      </c>
    </row>
    <row r="94" spans="2:25" ht="15" customHeight="1" x14ac:dyDescent="0.3">
      <c r="B94" s="95" t="s">
        <v>0</v>
      </c>
      <c r="C94" s="95"/>
      <c r="D94" s="95"/>
      <c r="E94" s="95"/>
      <c r="F94" s="101">
        <v>0.19</v>
      </c>
      <c r="G94" s="101"/>
      <c r="J94" s="102" t="s">
        <v>23</v>
      </c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102"/>
      <c r="Y94" s="102"/>
    </row>
    <row r="95" spans="2:25" ht="15" customHeight="1" x14ac:dyDescent="0.3"/>
    <row r="96" spans="2:25" x14ac:dyDescent="0.3">
      <c r="B96" s="17" t="s">
        <v>1</v>
      </c>
      <c r="C96" s="17" t="s">
        <v>2</v>
      </c>
      <c r="D96" s="17" t="s">
        <v>3</v>
      </c>
      <c r="E96" s="17" t="s">
        <v>4</v>
      </c>
      <c r="F96" s="17" t="s">
        <v>5</v>
      </c>
      <c r="G96" s="17" t="s">
        <v>6</v>
      </c>
      <c r="I96" s="2"/>
      <c r="J96" s="17" t="s">
        <v>19</v>
      </c>
      <c r="K96" s="17" t="s">
        <v>20</v>
      </c>
      <c r="L96" s="17" t="s">
        <v>21</v>
      </c>
      <c r="M96" s="17" t="s">
        <v>22</v>
      </c>
      <c r="P96" s="17" t="s">
        <v>24</v>
      </c>
      <c r="Q96" s="17" t="s">
        <v>25</v>
      </c>
      <c r="R96" s="17" t="s">
        <v>26</v>
      </c>
      <c r="U96" s="17" t="s">
        <v>27</v>
      </c>
      <c r="V96" s="17" t="s">
        <v>28</v>
      </c>
      <c r="Y96" s="17" t="s">
        <v>29</v>
      </c>
    </row>
    <row r="97" spans="2:25" x14ac:dyDescent="0.3">
      <c r="B97" s="18">
        <v>0</v>
      </c>
      <c r="C97" s="15">
        <f>C60</f>
        <v>-1500000</v>
      </c>
      <c r="D97" s="15">
        <f>C66</f>
        <v>-1900000</v>
      </c>
      <c r="E97" s="15">
        <f>C73</f>
        <v>-600000</v>
      </c>
      <c r="F97" s="15">
        <f>C83</f>
        <v>-500000</v>
      </c>
      <c r="G97" s="15">
        <f>C90</f>
        <v>-900000</v>
      </c>
      <c r="J97" s="28">
        <f>C97-D97</f>
        <v>400000</v>
      </c>
      <c r="K97" s="28">
        <f t="shared" ref="K97:K107" si="9">C97-E97</f>
        <v>-900000</v>
      </c>
      <c r="L97" s="28">
        <f t="shared" ref="L97:L107" si="10">C97-F97</f>
        <v>-1000000</v>
      </c>
      <c r="M97" s="28">
        <f t="shared" ref="M97:M107" si="11">C97-G97</f>
        <v>-600000</v>
      </c>
      <c r="P97" s="28">
        <f>D97-E97</f>
        <v>-1300000</v>
      </c>
      <c r="Q97" s="28">
        <f>D97-F97</f>
        <v>-1400000</v>
      </c>
      <c r="R97" s="28">
        <f>D97-G97</f>
        <v>-1000000</v>
      </c>
      <c r="U97" s="28">
        <f>E97-F97</f>
        <v>-100000</v>
      </c>
      <c r="V97" s="28">
        <f>E97-G97</f>
        <v>300000</v>
      </c>
      <c r="Y97" s="28">
        <f>F97-G97</f>
        <v>400000</v>
      </c>
    </row>
    <row r="98" spans="2:25" x14ac:dyDescent="0.3">
      <c r="B98" s="18">
        <v>1</v>
      </c>
      <c r="C98" s="15">
        <f>D60</f>
        <v>280000</v>
      </c>
      <c r="D98" s="15">
        <f>D66</f>
        <v>300000</v>
      </c>
      <c r="E98" s="15">
        <f>D73</f>
        <v>200000</v>
      </c>
      <c r="F98" s="15">
        <f>D83</f>
        <v>350000</v>
      </c>
      <c r="G98" s="15">
        <f>D90</f>
        <v>200000</v>
      </c>
      <c r="J98" s="28">
        <f t="shared" ref="J98:J107" si="12">C98-D98</f>
        <v>-20000</v>
      </c>
      <c r="K98" s="28">
        <f t="shared" si="9"/>
        <v>80000</v>
      </c>
      <c r="L98" s="28">
        <f t="shared" si="10"/>
        <v>-70000</v>
      </c>
      <c r="M98" s="28">
        <f t="shared" si="11"/>
        <v>80000</v>
      </c>
      <c r="P98" s="28">
        <f t="shared" ref="P98:P107" si="13">D98-E98</f>
        <v>100000</v>
      </c>
      <c r="Q98" s="28">
        <f t="shared" ref="Q98:Q107" si="14">D98-F98</f>
        <v>-50000</v>
      </c>
      <c r="R98" s="28">
        <f t="shared" ref="R98:R107" si="15">D98-G98</f>
        <v>100000</v>
      </c>
      <c r="U98" s="28">
        <f t="shared" ref="U98:U107" si="16">E98-F98</f>
        <v>-150000</v>
      </c>
      <c r="V98" s="28">
        <f t="shared" ref="V98:V107" si="17">E98-G98</f>
        <v>0</v>
      </c>
      <c r="Y98" s="28">
        <f t="shared" ref="Y98:Y107" si="18">F98-G98</f>
        <v>150000</v>
      </c>
    </row>
    <row r="99" spans="2:25" x14ac:dyDescent="0.3">
      <c r="B99" s="18">
        <v>2</v>
      </c>
      <c r="C99" s="15">
        <f>E60</f>
        <v>303000</v>
      </c>
      <c r="D99" s="15">
        <f>E66</f>
        <v>322000</v>
      </c>
      <c r="E99" s="15">
        <f>E73</f>
        <v>200000</v>
      </c>
      <c r="F99" s="15">
        <f>E83</f>
        <v>-200000</v>
      </c>
      <c r="G99" s="15">
        <f>E90</f>
        <v>250000</v>
      </c>
      <c r="J99" s="28">
        <f t="shared" si="12"/>
        <v>-19000</v>
      </c>
      <c r="K99" s="28">
        <f t="shared" si="9"/>
        <v>103000</v>
      </c>
      <c r="L99" s="28">
        <f t="shared" si="10"/>
        <v>503000</v>
      </c>
      <c r="M99" s="28">
        <f t="shared" si="11"/>
        <v>53000</v>
      </c>
      <c r="P99" s="28">
        <f t="shared" si="13"/>
        <v>122000</v>
      </c>
      <c r="Q99" s="28">
        <f t="shared" si="14"/>
        <v>522000</v>
      </c>
      <c r="R99" s="28">
        <f t="shared" si="15"/>
        <v>72000</v>
      </c>
      <c r="U99" s="28">
        <f t="shared" si="16"/>
        <v>400000</v>
      </c>
      <c r="V99" s="28">
        <f t="shared" si="17"/>
        <v>-50000</v>
      </c>
      <c r="Y99" s="28">
        <f t="shared" si="18"/>
        <v>-450000</v>
      </c>
    </row>
    <row r="100" spans="2:25" x14ac:dyDescent="0.3">
      <c r="B100" s="18">
        <v>3</v>
      </c>
      <c r="C100" s="15">
        <f>F60</f>
        <v>326000</v>
      </c>
      <c r="D100" s="15">
        <f>F66</f>
        <v>344000</v>
      </c>
      <c r="E100" s="15">
        <f>F73</f>
        <v>200000</v>
      </c>
      <c r="F100" s="15">
        <f>F83</f>
        <v>350000</v>
      </c>
      <c r="G100" s="15">
        <f>F90</f>
        <v>300000</v>
      </c>
      <c r="J100" s="28">
        <f t="shared" si="12"/>
        <v>-18000</v>
      </c>
      <c r="K100" s="28">
        <f t="shared" si="9"/>
        <v>126000</v>
      </c>
      <c r="L100" s="28">
        <f t="shared" si="10"/>
        <v>-24000</v>
      </c>
      <c r="M100" s="28">
        <f t="shared" si="11"/>
        <v>26000</v>
      </c>
      <c r="P100" s="28">
        <f t="shared" si="13"/>
        <v>144000</v>
      </c>
      <c r="Q100" s="28">
        <f t="shared" si="14"/>
        <v>-6000</v>
      </c>
      <c r="R100" s="28">
        <f t="shared" si="15"/>
        <v>44000</v>
      </c>
      <c r="U100" s="28">
        <f t="shared" si="16"/>
        <v>-150000</v>
      </c>
      <c r="V100" s="28">
        <f t="shared" si="17"/>
        <v>-100000</v>
      </c>
      <c r="Y100" s="28">
        <f t="shared" si="18"/>
        <v>50000</v>
      </c>
    </row>
    <row r="101" spans="2:25" x14ac:dyDescent="0.3">
      <c r="B101" s="18">
        <v>4</v>
      </c>
      <c r="C101" s="15">
        <f>G60</f>
        <v>349000</v>
      </c>
      <c r="D101" s="15">
        <f>G66</f>
        <v>366000</v>
      </c>
      <c r="E101" s="15">
        <f>G73</f>
        <v>200000</v>
      </c>
      <c r="F101" s="15">
        <f>G83</f>
        <v>-200000</v>
      </c>
      <c r="G101" s="15">
        <f>G90</f>
        <v>350000</v>
      </c>
      <c r="J101" s="28">
        <f t="shared" si="12"/>
        <v>-17000</v>
      </c>
      <c r="K101" s="28">
        <f t="shared" si="9"/>
        <v>149000</v>
      </c>
      <c r="L101" s="28">
        <f t="shared" si="10"/>
        <v>549000</v>
      </c>
      <c r="M101" s="28">
        <f t="shared" si="11"/>
        <v>-1000</v>
      </c>
      <c r="P101" s="28">
        <f t="shared" si="13"/>
        <v>166000</v>
      </c>
      <c r="Q101" s="28">
        <f t="shared" si="14"/>
        <v>566000</v>
      </c>
      <c r="R101" s="28">
        <f t="shared" si="15"/>
        <v>16000</v>
      </c>
      <c r="U101" s="28">
        <f t="shared" si="16"/>
        <v>400000</v>
      </c>
      <c r="V101" s="28">
        <f t="shared" si="17"/>
        <v>-150000</v>
      </c>
      <c r="Y101" s="28">
        <f t="shared" si="18"/>
        <v>-550000</v>
      </c>
    </row>
    <row r="102" spans="2:25" x14ac:dyDescent="0.3">
      <c r="B102" s="18">
        <v>5</v>
      </c>
      <c r="C102" s="15">
        <f>H60</f>
        <v>372000</v>
      </c>
      <c r="D102" s="15">
        <f>H66</f>
        <v>388000</v>
      </c>
      <c r="E102" s="15">
        <f>H73</f>
        <v>-400000</v>
      </c>
      <c r="F102" s="15">
        <f>H83</f>
        <v>350000</v>
      </c>
      <c r="G102" s="15">
        <f>H90</f>
        <v>-500000</v>
      </c>
      <c r="J102" s="28">
        <f t="shared" si="12"/>
        <v>-16000</v>
      </c>
      <c r="K102" s="28">
        <f t="shared" si="9"/>
        <v>772000</v>
      </c>
      <c r="L102" s="28">
        <f t="shared" si="10"/>
        <v>22000</v>
      </c>
      <c r="M102" s="28">
        <f t="shared" si="11"/>
        <v>872000</v>
      </c>
      <c r="P102" s="28">
        <f t="shared" si="13"/>
        <v>788000</v>
      </c>
      <c r="Q102" s="28">
        <f t="shared" si="14"/>
        <v>38000</v>
      </c>
      <c r="R102" s="28">
        <f t="shared" si="15"/>
        <v>888000</v>
      </c>
      <c r="U102" s="28">
        <f t="shared" si="16"/>
        <v>-750000</v>
      </c>
      <c r="V102" s="28">
        <f t="shared" si="17"/>
        <v>100000</v>
      </c>
      <c r="Y102" s="28">
        <f t="shared" si="18"/>
        <v>850000</v>
      </c>
    </row>
    <row r="103" spans="2:25" x14ac:dyDescent="0.3">
      <c r="B103" s="18">
        <v>6</v>
      </c>
      <c r="C103" s="15">
        <f>I60</f>
        <v>395000</v>
      </c>
      <c r="D103" s="15">
        <f>I66</f>
        <v>410000</v>
      </c>
      <c r="E103" s="15">
        <f>I73</f>
        <v>200000</v>
      </c>
      <c r="F103" s="15">
        <f>I83</f>
        <v>-200000</v>
      </c>
      <c r="G103" s="15">
        <f>I90</f>
        <v>200000</v>
      </c>
      <c r="J103" s="28">
        <f t="shared" si="12"/>
        <v>-15000</v>
      </c>
      <c r="K103" s="28">
        <f t="shared" si="9"/>
        <v>195000</v>
      </c>
      <c r="L103" s="28">
        <f t="shared" si="10"/>
        <v>595000</v>
      </c>
      <c r="M103" s="28">
        <f t="shared" si="11"/>
        <v>195000</v>
      </c>
      <c r="P103" s="28">
        <f t="shared" si="13"/>
        <v>210000</v>
      </c>
      <c r="Q103" s="28">
        <f t="shared" si="14"/>
        <v>610000</v>
      </c>
      <c r="R103" s="28">
        <f t="shared" si="15"/>
        <v>210000</v>
      </c>
      <c r="U103" s="28">
        <f t="shared" si="16"/>
        <v>400000</v>
      </c>
      <c r="V103" s="28">
        <f t="shared" si="17"/>
        <v>0</v>
      </c>
      <c r="Y103" s="28">
        <f t="shared" si="18"/>
        <v>-400000</v>
      </c>
    </row>
    <row r="104" spans="2:25" x14ac:dyDescent="0.3">
      <c r="B104" s="18">
        <v>7</v>
      </c>
      <c r="C104" s="15">
        <f>J60</f>
        <v>418000</v>
      </c>
      <c r="D104" s="15">
        <f>J66</f>
        <v>432000</v>
      </c>
      <c r="E104" s="15">
        <f>J73</f>
        <v>200000</v>
      </c>
      <c r="F104" s="15">
        <f>J83</f>
        <v>350000</v>
      </c>
      <c r="G104" s="15">
        <f>J90</f>
        <v>250000</v>
      </c>
      <c r="J104" s="28">
        <f t="shared" si="12"/>
        <v>-14000</v>
      </c>
      <c r="K104" s="28">
        <f t="shared" si="9"/>
        <v>218000</v>
      </c>
      <c r="L104" s="28">
        <f t="shared" si="10"/>
        <v>68000</v>
      </c>
      <c r="M104" s="28">
        <f t="shared" si="11"/>
        <v>168000</v>
      </c>
      <c r="P104" s="28">
        <f t="shared" si="13"/>
        <v>232000</v>
      </c>
      <c r="Q104" s="28">
        <f t="shared" si="14"/>
        <v>82000</v>
      </c>
      <c r="R104" s="28">
        <f t="shared" si="15"/>
        <v>182000</v>
      </c>
      <c r="U104" s="28">
        <f t="shared" si="16"/>
        <v>-150000</v>
      </c>
      <c r="V104" s="28">
        <f t="shared" si="17"/>
        <v>-50000</v>
      </c>
      <c r="Y104" s="28">
        <f t="shared" si="18"/>
        <v>100000</v>
      </c>
    </row>
    <row r="105" spans="2:25" x14ac:dyDescent="0.3">
      <c r="B105" s="18">
        <v>8</v>
      </c>
      <c r="C105" s="15">
        <f>K60</f>
        <v>441000</v>
      </c>
      <c r="D105" s="15">
        <f>K66</f>
        <v>454000</v>
      </c>
      <c r="E105" s="15">
        <f>K73</f>
        <v>200000</v>
      </c>
      <c r="F105" s="15">
        <f>K83</f>
        <v>-200000</v>
      </c>
      <c r="G105" s="15">
        <f>K90</f>
        <v>300000</v>
      </c>
      <c r="J105" s="28">
        <f t="shared" si="12"/>
        <v>-13000</v>
      </c>
      <c r="K105" s="28">
        <f t="shared" si="9"/>
        <v>241000</v>
      </c>
      <c r="L105" s="28">
        <f t="shared" si="10"/>
        <v>641000</v>
      </c>
      <c r="M105" s="28">
        <f t="shared" si="11"/>
        <v>141000</v>
      </c>
      <c r="P105" s="28">
        <f t="shared" si="13"/>
        <v>254000</v>
      </c>
      <c r="Q105" s="28">
        <f t="shared" si="14"/>
        <v>654000</v>
      </c>
      <c r="R105" s="28">
        <f t="shared" si="15"/>
        <v>154000</v>
      </c>
      <c r="U105" s="28">
        <f t="shared" si="16"/>
        <v>400000</v>
      </c>
      <c r="V105" s="28">
        <f t="shared" si="17"/>
        <v>-100000</v>
      </c>
      <c r="Y105" s="28">
        <f t="shared" si="18"/>
        <v>-500000</v>
      </c>
    </row>
    <row r="106" spans="2:25" x14ac:dyDescent="0.3">
      <c r="B106" s="18">
        <v>9</v>
      </c>
      <c r="C106" s="15">
        <f>L60</f>
        <v>464000</v>
      </c>
      <c r="D106" s="15">
        <f>L66</f>
        <v>476000</v>
      </c>
      <c r="E106" s="15">
        <f>L73</f>
        <v>200000</v>
      </c>
      <c r="F106" s="15">
        <f>L83</f>
        <v>350000</v>
      </c>
      <c r="G106" s="15">
        <f>L90</f>
        <v>350000</v>
      </c>
      <c r="J106" s="28">
        <f t="shared" si="12"/>
        <v>-12000</v>
      </c>
      <c r="K106" s="28">
        <f t="shared" si="9"/>
        <v>264000</v>
      </c>
      <c r="L106" s="28">
        <f t="shared" si="10"/>
        <v>114000</v>
      </c>
      <c r="M106" s="28">
        <f t="shared" si="11"/>
        <v>114000</v>
      </c>
      <c r="P106" s="28">
        <f t="shared" si="13"/>
        <v>276000</v>
      </c>
      <c r="Q106" s="28">
        <f t="shared" si="14"/>
        <v>126000</v>
      </c>
      <c r="R106" s="28">
        <f t="shared" si="15"/>
        <v>126000</v>
      </c>
      <c r="U106" s="28">
        <f t="shared" si="16"/>
        <v>-150000</v>
      </c>
      <c r="V106" s="28">
        <f t="shared" si="17"/>
        <v>-150000</v>
      </c>
      <c r="Y106" s="28">
        <f t="shared" si="18"/>
        <v>0</v>
      </c>
    </row>
    <row r="107" spans="2:25" x14ac:dyDescent="0.3">
      <c r="B107" s="18">
        <v>10</v>
      </c>
      <c r="C107" s="15">
        <f>M60</f>
        <v>487000</v>
      </c>
      <c r="D107" s="15">
        <f>M66</f>
        <v>498000</v>
      </c>
      <c r="E107" s="15">
        <f>M73</f>
        <v>200000</v>
      </c>
      <c r="F107" s="15">
        <f>M83</f>
        <v>300000</v>
      </c>
      <c r="G107" s="15">
        <f>M90</f>
        <v>400000</v>
      </c>
      <c r="J107" s="28">
        <f t="shared" si="12"/>
        <v>-11000</v>
      </c>
      <c r="K107" s="28">
        <f t="shared" si="9"/>
        <v>287000</v>
      </c>
      <c r="L107" s="28">
        <f t="shared" si="10"/>
        <v>187000</v>
      </c>
      <c r="M107" s="28">
        <f t="shared" si="11"/>
        <v>87000</v>
      </c>
      <c r="P107" s="28">
        <f t="shared" si="13"/>
        <v>298000</v>
      </c>
      <c r="Q107" s="28">
        <f t="shared" si="14"/>
        <v>198000</v>
      </c>
      <c r="R107" s="28">
        <f t="shared" si="15"/>
        <v>98000</v>
      </c>
      <c r="U107" s="28">
        <f t="shared" si="16"/>
        <v>-100000</v>
      </c>
      <c r="V107" s="28">
        <f t="shared" si="17"/>
        <v>-200000</v>
      </c>
      <c r="Y107" s="28">
        <f t="shared" si="18"/>
        <v>-100000</v>
      </c>
    </row>
    <row r="108" spans="2:25" x14ac:dyDescent="0.3">
      <c r="B108" s="11"/>
      <c r="C108" s="12"/>
      <c r="D108" s="12"/>
      <c r="E108" s="12"/>
      <c r="F108" s="12"/>
      <c r="G108" s="12"/>
      <c r="J108" s="28"/>
      <c r="K108" s="28"/>
      <c r="L108" s="28"/>
      <c r="M108" s="28"/>
      <c r="P108" s="28"/>
      <c r="Q108" s="28"/>
      <c r="R108" s="28"/>
      <c r="U108" s="28"/>
      <c r="V108" s="28"/>
      <c r="Y108" s="28"/>
    </row>
    <row r="109" spans="2:25" x14ac:dyDescent="0.3">
      <c r="B109" s="3" t="s">
        <v>74</v>
      </c>
      <c r="C109" s="12"/>
      <c r="D109" s="12"/>
      <c r="E109" s="12"/>
      <c r="F109" s="12"/>
      <c r="G109" s="12"/>
      <c r="J109" s="28"/>
      <c r="K109" s="28"/>
      <c r="L109" s="28"/>
      <c r="M109" s="28"/>
      <c r="P109" s="28"/>
      <c r="Q109" s="28"/>
      <c r="R109" s="28"/>
      <c r="U109" s="28"/>
      <c r="V109" s="28"/>
      <c r="Y109" s="28"/>
    </row>
    <row r="110" spans="2:25" x14ac:dyDescent="0.3">
      <c r="B110" s="11"/>
      <c r="C110" s="12"/>
      <c r="D110" s="12"/>
      <c r="E110" s="12"/>
      <c r="F110" s="12"/>
      <c r="G110" s="12"/>
    </row>
    <row r="111" spans="2:25" x14ac:dyDescent="0.3">
      <c r="B111" s="11"/>
      <c r="C111" s="17" t="s">
        <v>2</v>
      </c>
      <c r="D111" s="17" t="s">
        <v>3</v>
      </c>
      <c r="E111" s="17" t="s">
        <v>4</v>
      </c>
      <c r="F111" s="17" t="s">
        <v>5</v>
      </c>
      <c r="G111" s="17" t="s">
        <v>6</v>
      </c>
      <c r="J111" s="41" t="s">
        <v>19</v>
      </c>
      <c r="K111" s="41" t="s">
        <v>20</v>
      </c>
      <c r="L111" s="41" t="s">
        <v>21</v>
      </c>
      <c r="M111" s="41" t="s">
        <v>22</v>
      </c>
      <c r="P111" s="24" t="s">
        <v>24</v>
      </c>
      <c r="Q111" s="24" t="s">
        <v>25</v>
      </c>
      <c r="R111" s="24" t="s">
        <v>26</v>
      </c>
      <c r="U111" s="24" t="s">
        <v>27</v>
      </c>
      <c r="V111" s="24" t="s">
        <v>28</v>
      </c>
      <c r="Y111" s="17" t="s">
        <v>29</v>
      </c>
    </row>
    <row r="112" spans="2:25" x14ac:dyDescent="0.3">
      <c r="B112" s="13" t="s">
        <v>7</v>
      </c>
      <c r="C112" s="15">
        <f>NPV($F$94,C98:C107)+C97</f>
        <v>27569.95025504427</v>
      </c>
      <c r="D112" s="15">
        <f t="shared" ref="D112:G112" si="19">NPV($F$94,D98:D107)+D97</f>
        <v>-299245.62142777839</v>
      </c>
      <c r="E112" s="15">
        <f t="shared" si="19"/>
        <v>16357.350833320175</v>
      </c>
      <c r="F112" s="15">
        <f t="shared" si="19"/>
        <v>16741.552340552094</v>
      </c>
      <c r="G112" s="15">
        <f t="shared" si="19"/>
        <v>-49969.003625922487</v>
      </c>
      <c r="I112" s="13" t="s">
        <v>7</v>
      </c>
      <c r="J112" s="15">
        <f>NPV($F$94,J98:J107)+J97</f>
        <v>326815.57168282283</v>
      </c>
      <c r="K112" s="15">
        <f t="shared" ref="K112:M112" si="20">NPV($F$94,K98:K107)+K97</f>
        <v>11212.599421724444</v>
      </c>
      <c r="L112" s="15">
        <f t="shared" si="20"/>
        <v>10828.397914492409</v>
      </c>
      <c r="M112" s="15">
        <f t="shared" si="20"/>
        <v>77538.953880966874</v>
      </c>
      <c r="O112" s="13" t="s">
        <v>7</v>
      </c>
      <c r="P112" s="15">
        <f>NPV($F$94,P98:P107)+P97</f>
        <v>-315602.97226109856</v>
      </c>
      <c r="Q112" s="15">
        <f t="shared" ref="Q112:R112" si="21">NPV($F$94,Q98:Q107)+Q97</f>
        <v>-315987.17376833037</v>
      </c>
      <c r="R112" s="15">
        <f t="shared" si="21"/>
        <v>-249276.61780185613</v>
      </c>
      <c r="T112" s="13" t="s">
        <v>7</v>
      </c>
      <c r="U112" s="15">
        <f>NPV($F$94,U98:U107)+U97</f>
        <v>-384.20150723190454</v>
      </c>
      <c r="V112" s="15">
        <f t="shared" ref="V112" si="22">NPV($F$94,V98:V107)+V97</f>
        <v>66326.35445924243</v>
      </c>
      <c r="X112" s="13" t="s">
        <v>7</v>
      </c>
      <c r="Y112" s="15">
        <f>NPV($F$94,Y98:Y107)+Y97</f>
        <v>66710.555966474407</v>
      </c>
    </row>
    <row r="113" spans="1:25" x14ac:dyDescent="0.3">
      <c r="A113" s="3"/>
      <c r="B113" s="3"/>
      <c r="C113" s="36">
        <v>1</v>
      </c>
      <c r="D113" s="36">
        <v>5</v>
      </c>
      <c r="E113" s="36">
        <v>3</v>
      </c>
      <c r="F113" s="36">
        <v>2</v>
      </c>
      <c r="G113" s="36">
        <v>4</v>
      </c>
      <c r="H113" s="3"/>
    </row>
    <row r="114" spans="1:25" x14ac:dyDescent="0.3">
      <c r="A114" s="3"/>
      <c r="B114" s="3"/>
      <c r="C114" s="3"/>
      <c r="D114" s="3"/>
      <c r="E114" s="3"/>
      <c r="F114" s="3"/>
      <c r="G114" s="3"/>
      <c r="H114" s="3"/>
    </row>
    <row r="115" spans="1:25" x14ac:dyDescent="0.3">
      <c r="A115" s="3"/>
      <c r="B115" s="3" t="s">
        <v>75</v>
      </c>
      <c r="C115" s="3"/>
      <c r="D115" s="3"/>
      <c r="E115" s="3"/>
      <c r="F115" s="3"/>
      <c r="G115" s="3"/>
      <c r="H115" s="3"/>
    </row>
    <row r="116" spans="1:25" x14ac:dyDescent="0.3">
      <c r="A116" s="3"/>
      <c r="B116" s="3"/>
      <c r="C116" s="3"/>
      <c r="D116" s="3"/>
      <c r="E116" s="3"/>
      <c r="F116" s="3"/>
      <c r="G116" s="3"/>
      <c r="H116" s="3"/>
    </row>
    <row r="117" spans="1:25" x14ac:dyDescent="0.3">
      <c r="A117" s="3"/>
      <c r="B117" s="3"/>
      <c r="C117" s="41" t="s">
        <v>2</v>
      </c>
      <c r="D117" s="41" t="s">
        <v>3</v>
      </c>
      <c r="E117" s="41" t="s">
        <v>4</v>
      </c>
      <c r="F117" s="41" t="s">
        <v>5</v>
      </c>
      <c r="G117" s="41" t="s">
        <v>6</v>
      </c>
      <c r="H117" s="3"/>
      <c r="J117" s="17" t="s">
        <v>19</v>
      </c>
      <c r="K117" s="17" t="s">
        <v>20</v>
      </c>
      <c r="L117" s="17" t="s">
        <v>21</v>
      </c>
      <c r="M117" s="17" t="s">
        <v>22</v>
      </c>
      <c r="P117" s="41" t="s">
        <v>24</v>
      </c>
      <c r="Q117" s="41" t="s">
        <v>25</v>
      </c>
      <c r="R117" s="41" t="s">
        <v>26</v>
      </c>
      <c r="U117" s="41" t="s">
        <v>27</v>
      </c>
      <c r="V117" s="41" t="s">
        <v>28</v>
      </c>
      <c r="Y117" s="41" t="s">
        <v>29</v>
      </c>
    </row>
    <row r="118" spans="1:25" x14ac:dyDescent="0.3">
      <c r="B118" s="13" t="s">
        <v>8</v>
      </c>
      <c r="C118" s="65">
        <f>IRR(C97:C107)</f>
        <v>0.19473808422098338</v>
      </c>
      <c r="D118" s="65">
        <f t="shared" ref="D118:G118" si="23">IRR(D97:D107)</f>
        <v>0.14738085161917169</v>
      </c>
      <c r="E118" s="65">
        <f t="shared" si="23"/>
        <v>0.198577097873192</v>
      </c>
      <c r="F118" s="20">
        <f t="shared" si="23"/>
        <v>0.19999999999999973</v>
      </c>
      <c r="G118" s="16">
        <f t="shared" si="23"/>
        <v>0.17432326005713539</v>
      </c>
      <c r="I118" s="13" t="s">
        <v>8</v>
      </c>
      <c r="J118" s="16">
        <f>IRR(J97:J107)</f>
        <v>-0.15458903100813393</v>
      </c>
      <c r="K118" s="16">
        <f t="shared" ref="K118:M118" si="24">IRR(K97:K107)</f>
        <v>0.1928666204954641</v>
      </c>
      <c r="L118" s="16">
        <f t="shared" si="24"/>
        <v>0.19261478600219295</v>
      </c>
      <c r="M118" s="16">
        <f t="shared" si="24"/>
        <v>0.21928863993431547</v>
      </c>
      <c r="O118" s="13" t="s">
        <v>8</v>
      </c>
      <c r="P118" s="16">
        <f>IRR(P97:P107)</f>
        <v>0.12804985170558858</v>
      </c>
      <c r="Q118" s="16">
        <f t="shared" ref="Q118:R118" si="25">IRR(Q97:Q107)</f>
        <v>0.13036058324894739</v>
      </c>
      <c r="R118" s="16">
        <f t="shared" si="25"/>
        <v>0.12427776761849363</v>
      </c>
      <c r="T118" s="13" t="s">
        <v>8</v>
      </c>
      <c r="U118" s="16">
        <f>IRR(U97:U107)</f>
        <v>0.18831474319583719</v>
      </c>
      <c r="V118" s="16">
        <f t="shared" ref="V118" si="26">IRR(V97:V107)</f>
        <v>0.13867662593823193</v>
      </c>
      <c r="X118" s="13" t="s">
        <v>8</v>
      </c>
      <c r="Y118" s="16">
        <f>IRR(Y97:Y107)</f>
        <v>0.14548441281826041</v>
      </c>
    </row>
    <row r="119" spans="1:25" x14ac:dyDescent="0.3">
      <c r="A119" s="3"/>
      <c r="C119" s="36">
        <v>3</v>
      </c>
      <c r="D119" s="36">
        <v>5</v>
      </c>
      <c r="E119" s="36">
        <v>2</v>
      </c>
      <c r="F119" s="36">
        <v>1</v>
      </c>
      <c r="G119" s="36">
        <v>4</v>
      </c>
    </row>
    <row r="120" spans="1:25" x14ac:dyDescent="0.3">
      <c r="A120" s="3"/>
    </row>
    <row r="121" spans="1:25" x14ac:dyDescent="0.3">
      <c r="A121" s="3"/>
      <c r="B121" s="42" t="s">
        <v>76</v>
      </c>
      <c r="J121" s="66"/>
      <c r="K121" s="66"/>
      <c r="L121" s="66"/>
      <c r="M121" s="66"/>
      <c r="Y121" s="66"/>
    </row>
    <row r="123" spans="1:25" x14ac:dyDescent="0.3">
      <c r="B123" s="116" t="s">
        <v>1</v>
      </c>
      <c r="C123" s="117" t="s">
        <v>2</v>
      </c>
      <c r="D123" s="118"/>
      <c r="E123" s="117" t="s">
        <v>3</v>
      </c>
      <c r="F123" s="118"/>
      <c r="G123" s="117" t="s">
        <v>4</v>
      </c>
      <c r="H123" s="118"/>
      <c r="I123" s="117" t="s">
        <v>5</v>
      </c>
      <c r="J123" s="118"/>
      <c r="K123" s="117" t="s">
        <v>6</v>
      </c>
      <c r="L123" s="118"/>
    </row>
    <row r="124" spans="1:25" x14ac:dyDescent="0.3">
      <c r="B124" s="116"/>
      <c r="C124" s="30" t="s">
        <v>16</v>
      </c>
      <c r="D124" s="30" t="s">
        <v>17</v>
      </c>
      <c r="E124" s="30" t="s">
        <v>16</v>
      </c>
      <c r="F124" s="30" t="s">
        <v>17</v>
      </c>
      <c r="G124" s="30" t="s">
        <v>16</v>
      </c>
      <c r="H124" s="30" t="s">
        <v>17</v>
      </c>
      <c r="I124" s="30" t="s">
        <v>16</v>
      </c>
      <c r="J124" s="30" t="s">
        <v>17</v>
      </c>
      <c r="K124" s="30" t="s">
        <v>16</v>
      </c>
      <c r="L124" s="30" t="s">
        <v>17</v>
      </c>
    </row>
    <row r="125" spans="1:25" x14ac:dyDescent="0.3">
      <c r="B125" s="27">
        <v>0</v>
      </c>
      <c r="C125" s="25">
        <f t="shared" ref="C125:C135" si="27">C97</f>
        <v>-1500000</v>
      </c>
      <c r="D125" s="22">
        <f>C125</f>
        <v>-1500000</v>
      </c>
      <c r="E125" s="26">
        <f t="shared" ref="E125:E135" si="28">D97</f>
        <v>-1900000</v>
      </c>
      <c r="F125" s="22">
        <f>E125</f>
        <v>-1900000</v>
      </c>
      <c r="G125" s="22">
        <f>E97</f>
        <v>-600000</v>
      </c>
      <c r="H125" s="22">
        <f>G125</f>
        <v>-600000</v>
      </c>
      <c r="I125" s="22">
        <f>F97</f>
        <v>-500000</v>
      </c>
      <c r="J125" s="22">
        <f>I125</f>
        <v>-500000</v>
      </c>
      <c r="K125" s="22">
        <f>G97</f>
        <v>-900000</v>
      </c>
      <c r="L125" s="22">
        <f>K125</f>
        <v>-900000</v>
      </c>
    </row>
    <row r="126" spans="1:25" x14ac:dyDescent="0.3">
      <c r="B126" s="27">
        <v>1</v>
      </c>
      <c r="C126" s="25">
        <f t="shared" si="27"/>
        <v>280000</v>
      </c>
      <c r="D126" s="22">
        <f t="shared" ref="D126:D135" si="29">D125+C126</f>
        <v>-1220000</v>
      </c>
      <c r="E126" s="26">
        <f t="shared" si="28"/>
        <v>300000</v>
      </c>
      <c r="F126" s="22">
        <f>F125+E126</f>
        <v>-1600000</v>
      </c>
      <c r="G126" s="22">
        <f>E98</f>
        <v>200000</v>
      </c>
      <c r="H126" s="22">
        <f>H125+G126</f>
        <v>-400000</v>
      </c>
      <c r="I126" s="22">
        <f>F98</f>
        <v>350000</v>
      </c>
      <c r="J126" s="22">
        <f>J125+I126</f>
        <v>-150000</v>
      </c>
      <c r="K126" s="22">
        <f>G98</f>
        <v>200000</v>
      </c>
      <c r="L126" s="22">
        <f>L125+K126</f>
        <v>-700000</v>
      </c>
    </row>
    <row r="127" spans="1:25" x14ac:dyDescent="0.3">
      <c r="B127" s="27">
        <v>2</v>
      </c>
      <c r="C127" s="25">
        <f t="shared" si="27"/>
        <v>303000</v>
      </c>
      <c r="D127" s="22">
        <f t="shared" si="29"/>
        <v>-917000</v>
      </c>
      <c r="E127" s="26">
        <f t="shared" si="28"/>
        <v>322000</v>
      </c>
      <c r="F127" s="22">
        <f t="shared" ref="F127:F134" si="30">F126+E127</f>
        <v>-1278000</v>
      </c>
      <c r="G127" s="22">
        <f>E99</f>
        <v>200000</v>
      </c>
      <c r="H127" s="22">
        <f t="shared" ref="H127:H130" si="31">H126+G127</f>
        <v>-200000</v>
      </c>
      <c r="I127" s="22">
        <v>300000</v>
      </c>
      <c r="J127" s="22">
        <f t="shared" ref="J127" si="32">J126+I127</f>
        <v>150000</v>
      </c>
      <c r="K127" s="22">
        <f>G99</f>
        <v>250000</v>
      </c>
      <c r="L127" s="22">
        <f t="shared" ref="L127:L130" si="33">L126+K127</f>
        <v>-450000</v>
      </c>
    </row>
    <row r="128" spans="1:25" x14ac:dyDescent="0.3">
      <c r="B128" s="27">
        <v>3</v>
      </c>
      <c r="C128" s="25">
        <f t="shared" si="27"/>
        <v>326000</v>
      </c>
      <c r="D128" s="22">
        <f t="shared" si="29"/>
        <v>-591000</v>
      </c>
      <c r="E128" s="26">
        <f t="shared" si="28"/>
        <v>344000</v>
      </c>
      <c r="F128" s="22">
        <f t="shared" si="30"/>
        <v>-934000</v>
      </c>
      <c r="G128" s="22">
        <f>E100</f>
        <v>200000</v>
      </c>
      <c r="H128" s="22">
        <f t="shared" si="31"/>
        <v>0</v>
      </c>
      <c r="K128" s="22">
        <f>G100</f>
        <v>300000</v>
      </c>
      <c r="L128" s="22">
        <f t="shared" si="33"/>
        <v>-150000</v>
      </c>
    </row>
    <row r="129" spans="2:15" x14ac:dyDescent="0.3">
      <c r="B129" s="27">
        <v>4</v>
      </c>
      <c r="C129" s="25">
        <f t="shared" si="27"/>
        <v>349000</v>
      </c>
      <c r="D129" s="22">
        <f t="shared" si="29"/>
        <v>-242000</v>
      </c>
      <c r="E129" s="26">
        <f t="shared" si="28"/>
        <v>366000</v>
      </c>
      <c r="F129" s="22">
        <f t="shared" si="30"/>
        <v>-568000</v>
      </c>
      <c r="G129" s="22">
        <f>E101</f>
        <v>200000</v>
      </c>
      <c r="H129" s="22">
        <f t="shared" si="31"/>
        <v>200000</v>
      </c>
      <c r="K129" s="22">
        <f>G101</f>
        <v>350000</v>
      </c>
      <c r="L129" s="22">
        <f t="shared" si="33"/>
        <v>200000</v>
      </c>
    </row>
    <row r="130" spans="2:15" x14ac:dyDescent="0.3">
      <c r="B130" s="27">
        <v>5</v>
      </c>
      <c r="C130" s="25">
        <f t="shared" si="27"/>
        <v>372000</v>
      </c>
      <c r="D130" s="22">
        <f t="shared" si="29"/>
        <v>130000</v>
      </c>
      <c r="E130" s="26">
        <f t="shared" si="28"/>
        <v>388000</v>
      </c>
      <c r="F130" s="22">
        <f>F129+E130</f>
        <v>-180000</v>
      </c>
      <c r="G130" s="22">
        <v>200000</v>
      </c>
      <c r="H130" s="22">
        <f t="shared" si="31"/>
        <v>400000</v>
      </c>
      <c r="K130" s="22">
        <v>400000</v>
      </c>
      <c r="L130" s="22">
        <f t="shared" si="33"/>
        <v>600000</v>
      </c>
    </row>
    <row r="131" spans="2:15" x14ac:dyDescent="0.3">
      <c r="B131" s="27">
        <v>6</v>
      </c>
      <c r="C131" s="25">
        <f t="shared" si="27"/>
        <v>395000</v>
      </c>
      <c r="D131" s="22">
        <f t="shared" si="29"/>
        <v>525000</v>
      </c>
      <c r="E131" s="26">
        <f t="shared" si="28"/>
        <v>410000</v>
      </c>
      <c r="F131" s="22">
        <f>F130+E131</f>
        <v>230000</v>
      </c>
    </row>
    <row r="132" spans="2:15" x14ac:dyDescent="0.3">
      <c r="B132" s="27">
        <v>7</v>
      </c>
      <c r="C132" s="25">
        <f t="shared" si="27"/>
        <v>418000</v>
      </c>
      <c r="D132" s="22">
        <f t="shared" si="29"/>
        <v>943000</v>
      </c>
      <c r="E132" s="26">
        <f t="shared" si="28"/>
        <v>432000</v>
      </c>
      <c r="F132" s="22">
        <f t="shared" si="30"/>
        <v>662000</v>
      </c>
    </row>
    <row r="133" spans="2:15" x14ac:dyDescent="0.3">
      <c r="B133" s="27">
        <v>8</v>
      </c>
      <c r="C133" s="25">
        <f t="shared" si="27"/>
        <v>441000</v>
      </c>
      <c r="D133" s="22">
        <f t="shared" si="29"/>
        <v>1384000</v>
      </c>
      <c r="E133" s="26">
        <f t="shared" si="28"/>
        <v>454000</v>
      </c>
      <c r="F133" s="22">
        <f t="shared" si="30"/>
        <v>1116000</v>
      </c>
    </row>
    <row r="134" spans="2:15" x14ac:dyDescent="0.3">
      <c r="B134" s="27">
        <v>9</v>
      </c>
      <c r="C134" s="25">
        <f t="shared" si="27"/>
        <v>464000</v>
      </c>
      <c r="D134" s="22">
        <f t="shared" si="29"/>
        <v>1848000</v>
      </c>
      <c r="E134" s="26">
        <f t="shared" si="28"/>
        <v>476000</v>
      </c>
      <c r="F134" s="22">
        <f t="shared" si="30"/>
        <v>1592000</v>
      </c>
    </row>
    <row r="135" spans="2:15" x14ac:dyDescent="0.3">
      <c r="B135" s="27">
        <v>10</v>
      </c>
      <c r="C135" s="25">
        <f t="shared" si="27"/>
        <v>487000</v>
      </c>
      <c r="D135" s="22">
        <f t="shared" si="29"/>
        <v>2335000</v>
      </c>
      <c r="E135" s="26">
        <f t="shared" si="28"/>
        <v>498000</v>
      </c>
      <c r="F135" s="22">
        <f>F134+E135</f>
        <v>2090000</v>
      </c>
    </row>
    <row r="137" spans="2:15" x14ac:dyDescent="0.3">
      <c r="C137" s="22">
        <f>C130</f>
        <v>372000</v>
      </c>
      <c r="D137" s="51">
        <v>360</v>
      </c>
      <c r="E137" s="22">
        <f>E131</f>
        <v>410000</v>
      </c>
      <c r="F137" s="59">
        <v>360</v>
      </c>
      <c r="G137" s="22">
        <f>G128</f>
        <v>200000</v>
      </c>
      <c r="H137" s="51">
        <v>360</v>
      </c>
      <c r="I137" s="22">
        <f>I127</f>
        <v>300000</v>
      </c>
      <c r="J137" s="51">
        <v>360</v>
      </c>
      <c r="K137" s="22">
        <f>K129</f>
        <v>350000</v>
      </c>
      <c r="L137" s="51">
        <v>360</v>
      </c>
    </row>
    <row r="138" spans="2:15" x14ac:dyDescent="0.3">
      <c r="C138" s="22">
        <f>ABS(D129)</f>
        <v>242000</v>
      </c>
      <c r="D138" s="60">
        <f>(D137*C138)/C137</f>
        <v>234.19354838709677</v>
      </c>
      <c r="E138" s="22">
        <f>ABS(F130)</f>
        <v>180000</v>
      </c>
      <c r="F138" s="60">
        <f>(E138*F137)/E137</f>
        <v>158.04878048780489</v>
      </c>
      <c r="G138" s="22">
        <f>ABS(H127)</f>
        <v>200000</v>
      </c>
      <c r="H138" s="51">
        <f>(G138*H137)/G137</f>
        <v>360</v>
      </c>
      <c r="I138" s="22">
        <f>J127</f>
        <v>150000</v>
      </c>
      <c r="J138" s="51">
        <f>(I138*J137)/I137</f>
        <v>180</v>
      </c>
      <c r="K138" s="22">
        <f>ABS(L128)</f>
        <v>150000</v>
      </c>
      <c r="L138" s="60">
        <f>(K138*L137)/K137</f>
        <v>154.28571428571428</v>
      </c>
    </row>
    <row r="139" spans="2:15" x14ac:dyDescent="0.3">
      <c r="C139" s="51"/>
      <c r="D139" s="61" t="s">
        <v>30</v>
      </c>
      <c r="E139" s="62"/>
      <c r="F139" s="61" t="s">
        <v>57</v>
      </c>
      <c r="G139" s="62"/>
      <c r="H139" s="61" t="s">
        <v>60</v>
      </c>
      <c r="I139" s="62"/>
      <c r="J139" s="61" t="s">
        <v>59</v>
      </c>
      <c r="K139" s="62"/>
      <c r="L139" s="61" t="s">
        <v>33</v>
      </c>
      <c r="N139" s="9"/>
      <c r="O139" s="9"/>
    </row>
    <row r="140" spans="2:15" x14ac:dyDescent="0.3">
      <c r="C140" s="126" t="s">
        <v>31</v>
      </c>
      <c r="D140" s="127"/>
      <c r="E140" s="126" t="s">
        <v>58</v>
      </c>
      <c r="F140" s="127"/>
      <c r="G140" s="126" t="s">
        <v>32</v>
      </c>
      <c r="H140" s="127"/>
      <c r="I140" s="126" t="s">
        <v>61</v>
      </c>
      <c r="J140" s="127"/>
      <c r="K140" s="126" t="s">
        <v>97</v>
      </c>
      <c r="L140" s="127"/>
    </row>
    <row r="141" spans="2:15" x14ac:dyDescent="0.3">
      <c r="C141" s="127"/>
      <c r="D141" s="127"/>
      <c r="E141" s="127"/>
      <c r="F141" s="127"/>
      <c r="G141" s="127"/>
      <c r="H141" s="127"/>
      <c r="I141" s="127"/>
      <c r="J141" s="127"/>
      <c r="K141" s="127"/>
      <c r="L141" s="127"/>
    </row>
    <row r="143" spans="2:15" x14ac:dyDescent="0.3">
      <c r="B143" s="42" t="s">
        <v>77</v>
      </c>
    </row>
    <row r="145" spans="2:17" x14ac:dyDescent="0.3">
      <c r="B145" s="19" t="s">
        <v>0</v>
      </c>
      <c r="C145" s="19"/>
      <c r="D145" s="101">
        <v>0.19</v>
      </c>
      <c r="E145" s="101"/>
    </row>
    <row r="146" spans="2:17" x14ac:dyDescent="0.3">
      <c r="B146" s="1"/>
      <c r="C146" s="1"/>
      <c r="D146" s="10"/>
      <c r="E146" s="10"/>
    </row>
    <row r="147" spans="2:17" x14ac:dyDescent="0.3">
      <c r="B147" s="116" t="s">
        <v>1</v>
      </c>
      <c r="C147" s="117" t="s">
        <v>2</v>
      </c>
      <c r="D147" s="119"/>
      <c r="E147" s="119"/>
      <c r="F147" s="117" t="s">
        <v>3</v>
      </c>
      <c r="G147" s="119"/>
      <c r="H147" s="119"/>
      <c r="I147" s="117" t="s">
        <v>4</v>
      </c>
      <c r="J147" s="119"/>
      <c r="K147" s="119"/>
      <c r="L147" s="117" t="s">
        <v>5</v>
      </c>
      <c r="M147" s="119"/>
      <c r="N147" s="119"/>
      <c r="O147" s="117" t="s">
        <v>6</v>
      </c>
      <c r="P147" s="119"/>
      <c r="Q147" s="119"/>
    </row>
    <row r="148" spans="2:17" ht="42.75" x14ac:dyDescent="0.3">
      <c r="B148" s="116"/>
      <c r="C148" s="31" t="s">
        <v>16</v>
      </c>
      <c r="D148" s="32" t="s">
        <v>34</v>
      </c>
      <c r="E148" s="31" t="s">
        <v>17</v>
      </c>
      <c r="F148" s="31" t="s">
        <v>16</v>
      </c>
      <c r="G148" s="32" t="s">
        <v>34</v>
      </c>
      <c r="H148" s="31" t="s">
        <v>17</v>
      </c>
      <c r="I148" s="31" t="s">
        <v>16</v>
      </c>
      <c r="J148" s="32" t="s">
        <v>34</v>
      </c>
      <c r="K148" s="31" t="s">
        <v>17</v>
      </c>
      <c r="L148" s="31" t="s">
        <v>16</v>
      </c>
      <c r="M148" s="32" t="s">
        <v>34</v>
      </c>
      <c r="N148" s="31" t="s">
        <v>17</v>
      </c>
      <c r="O148" s="31" t="s">
        <v>16</v>
      </c>
      <c r="P148" s="32" t="s">
        <v>34</v>
      </c>
      <c r="Q148" s="31" t="s">
        <v>17</v>
      </c>
    </row>
    <row r="149" spans="2:17" x14ac:dyDescent="0.3">
      <c r="B149" s="27">
        <v>0</v>
      </c>
      <c r="C149" s="25">
        <f t="shared" ref="C149:C159" si="34">C125</f>
        <v>-1500000</v>
      </c>
      <c r="D149" s="22">
        <f>C149</f>
        <v>-1500000</v>
      </c>
      <c r="E149" s="26">
        <f>D149</f>
        <v>-1500000</v>
      </c>
      <c r="F149" s="25">
        <f t="shared" ref="F149:F159" si="35">E125</f>
        <v>-1900000</v>
      </c>
      <c r="G149" s="22">
        <f>F149</f>
        <v>-1900000</v>
      </c>
      <c r="H149" s="26">
        <f>G149</f>
        <v>-1900000</v>
      </c>
      <c r="I149" s="25">
        <f t="shared" ref="I149:I154" si="36">G125</f>
        <v>-600000</v>
      </c>
      <c r="J149" s="22">
        <f>I149</f>
        <v>-600000</v>
      </c>
      <c r="K149" s="26">
        <f>J149</f>
        <v>-600000</v>
      </c>
      <c r="L149" s="25">
        <f>I125</f>
        <v>-500000</v>
      </c>
      <c r="M149" s="22">
        <f>L149</f>
        <v>-500000</v>
      </c>
      <c r="N149" s="26">
        <f>M149</f>
        <v>-500000</v>
      </c>
      <c r="O149" s="25">
        <f t="shared" ref="O149:O154" si="37">K125</f>
        <v>-900000</v>
      </c>
      <c r="P149" s="22">
        <f>O149</f>
        <v>-900000</v>
      </c>
      <c r="Q149" s="26">
        <f>P149</f>
        <v>-900000</v>
      </c>
    </row>
    <row r="150" spans="2:17" x14ac:dyDescent="0.3">
      <c r="B150" s="27">
        <v>1</v>
      </c>
      <c r="C150" s="25">
        <f t="shared" si="34"/>
        <v>280000</v>
      </c>
      <c r="D150" s="22">
        <f>C150/POWER(1.19,1)</f>
        <v>235294.11764705883</v>
      </c>
      <c r="E150" s="26">
        <f t="shared" ref="E150:E159" si="38">E149+D150</f>
        <v>-1264705.8823529412</v>
      </c>
      <c r="F150" s="25">
        <f t="shared" si="35"/>
        <v>300000</v>
      </c>
      <c r="G150" s="22">
        <f>F150/POWER(1.19,1)</f>
        <v>252100.84033613445</v>
      </c>
      <c r="H150" s="26">
        <f t="shared" ref="H150:H159" si="39">H149+G150</f>
        <v>-1647899.1596638656</v>
      </c>
      <c r="I150" s="25">
        <f t="shared" si="36"/>
        <v>200000</v>
      </c>
      <c r="J150" s="22">
        <f>I150/POWER(1.19,1)</f>
        <v>168067.22689075631</v>
      </c>
      <c r="K150" s="26">
        <f t="shared" ref="K150:K154" si="40">K149+J150</f>
        <v>-431932.77310924372</v>
      </c>
      <c r="L150" s="25">
        <f>I126</f>
        <v>350000</v>
      </c>
      <c r="M150" s="22">
        <f>L150/POWER(1.19,1)</f>
        <v>294117.64705882355</v>
      </c>
      <c r="N150" s="26">
        <f t="shared" ref="N150:N151" si="41">N149+M150</f>
        <v>-205882.35294117645</v>
      </c>
      <c r="O150" s="25">
        <f t="shared" si="37"/>
        <v>200000</v>
      </c>
      <c r="P150" s="22">
        <f>O150/POWER(1.19,1)</f>
        <v>168067.22689075631</v>
      </c>
      <c r="Q150" s="26">
        <f t="shared" ref="Q150:Q154" si="42">Q149+P150</f>
        <v>-731932.77310924372</v>
      </c>
    </row>
    <row r="151" spans="2:17" x14ac:dyDescent="0.3">
      <c r="B151" s="27">
        <v>2</v>
      </c>
      <c r="C151" s="25">
        <f t="shared" si="34"/>
        <v>303000</v>
      </c>
      <c r="D151" s="22">
        <f>C151/POWER(1.19,2)</f>
        <v>213967.94011722336</v>
      </c>
      <c r="E151" s="26">
        <f t="shared" si="38"/>
        <v>-1050737.9422357178</v>
      </c>
      <c r="F151" s="25">
        <f t="shared" si="35"/>
        <v>322000</v>
      </c>
      <c r="G151" s="22">
        <f>F151/POWER(1.19,2)</f>
        <v>227385.07167572912</v>
      </c>
      <c r="H151" s="26">
        <f t="shared" si="39"/>
        <v>-1420514.0879881363</v>
      </c>
      <c r="I151" s="25">
        <f t="shared" si="36"/>
        <v>200000</v>
      </c>
      <c r="J151" s="22">
        <f>I151/POWER(1.19,2)</f>
        <v>141232.96377374479</v>
      </c>
      <c r="K151" s="26">
        <f t="shared" si="40"/>
        <v>-290699.80933549895</v>
      </c>
      <c r="L151" s="25">
        <f>I127</f>
        <v>300000</v>
      </c>
      <c r="M151" s="22">
        <f>L151/POWER(1.19,2)</f>
        <v>211849.4456606172</v>
      </c>
      <c r="N151" s="26">
        <f t="shared" si="41"/>
        <v>5967.0927194407559</v>
      </c>
      <c r="O151" s="25">
        <f t="shared" si="37"/>
        <v>250000</v>
      </c>
      <c r="P151" s="22">
        <f>O151/POWER(1.19,2)</f>
        <v>176541.20471718101</v>
      </c>
      <c r="Q151" s="26">
        <f t="shared" si="42"/>
        <v>-555391.56839206268</v>
      </c>
    </row>
    <row r="152" spans="2:17" x14ac:dyDescent="0.3">
      <c r="B152" s="27">
        <v>3</v>
      </c>
      <c r="C152" s="25">
        <f t="shared" si="34"/>
        <v>326000</v>
      </c>
      <c r="D152" s="22">
        <f>C152/POWER(1.19,3)</f>
        <v>193453.55542117986</v>
      </c>
      <c r="E152" s="26">
        <f t="shared" si="38"/>
        <v>-857284.38681453792</v>
      </c>
      <c r="F152" s="25">
        <f t="shared" si="35"/>
        <v>344000</v>
      </c>
      <c r="G152" s="22">
        <f>F152/POWER(1.19,3)</f>
        <v>204135.04007633703</v>
      </c>
      <c r="H152" s="26">
        <f t="shared" si="39"/>
        <v>-1216379.0479117993</v>
      </c>
      <c r="I152" s="25">
        <f t="shared" si="36"/>
        <v>200000</v>
      </c>
      <c r="J152" s="22">
        <f>I152/POWER(1.19,3)</f>
        <v>118683.16283507967</v>
      </c>
      <c r="K152" s="26">
        <f t="shared" si="40"/>
        <v>-172016.6465004193</v>
      </c>
      <c r="O152" s="25">
        <f t="shared" si="37"/>
        <v>300000</v>
      </c>
      <c r="P152" s="22">
        <f>O152/POWER(1.19,3)</f>
        <v>178024.74425261951</v>
      </c>
      <c r="Q152" s="26">
        <f t="shared" si="42"/>
        <v>-377366.82413944317</v>
      </c>
    </row>
    <row r="153" spans="2:17" x14ac:dyDescent="0.3">
      <c r="B153" s="27">
        <v>4</v>
      </c>
      <c r="C153" s="25">
        <f t="shared" si="34"/>
        <v>349000</v>
      </c>
      <c r="D153" s="22">
        <f>C153/POWER(1.19,4)</f>
        <v>174035.39424135632</v>
      </c>
      <c r="E153" s="26">
        <f t="shared" si="38"/>
        <v>-683248.99257318163</v>
      </c>
      <c r="F153" s="25">
        <f t="shared" si="35"/>
        <v>366000</v>
      </c>
      <c r="G153" s="22">
        <f>F153/POWER(1.19,4)</f>
        <v>182512.76301529058</v>
      </c>
      <c r="H153" s="26">
        <f t="shared" si="39"/>
        <v>-1033866.2848965087</v>
      </c>
      <c r="I153" s="25">
        <f t="shared" si="36"/>
        <v>200000</v>
      </c>
      <c r="J153" s="22">
        <f>I153/POWER(1.19,4)</f>
        <v>99733.75028157956</v>
      </c>
      <c r="K153" s="26">
        <f t="shared" si="40"/>
        <v>-72282.896218839742</v>
      </c>
      <c r="O153" s="25">
        <f t="shared" si="37"/>
        <v>350000</v>
      </c>
      <c r="P153" s="22">
        <f>O153/POWER(1.19,4)</f>
        <v>174534.06299276423</v>
      </c>
      <c r="Q153" s="26">
        <f t="shared" si="42"/>
        <v>-202832.76114667894</v>
      </c>
    </row>
    <row r="154" spans="2:17" x14ac:dyDescent="0.3">
      <c r="B154" s="27">
        <v>5</v>
      </c>
      <c r="C154" s="25">
        <f t="shared" si="34"/>
        <v>372000</v>
      </c>
      <c r="D154" s="22">
        <f>C154/POWER(1.19,5)</f>
        <v>155886.36598633442</v>
      </c>
      <c r="E154" s="26">
        <f t="shared" si="38"/>
        <v>-527362.62658684724</v>
      </c>
      <c r="F154" s="25">
        <f t="shared" si="35"/>
        <v>388000</v>
      </c>
      <c r="G154" s="22">
        <f>F154/POWER(1.19,5)</f>
        <v>162591.15592123053</v>
      </c>
      <c r="H154" s="26">
        <f t="shared" si="39"/>
        <v>-871275.12897527812</v>
      </c>
      <c r="I154" s="25">
        <f t="shared" si="36"/>
        <v>200000</v>
      </c>
      <c r="J154" s="22">
        <f>I154/POWER(1.19,5)</f>
        <v>83809.874186201312</v>
      </c>
      <c r="K154" s="26">
        <f t="shared" si="40"/>
        <v>11526.97796736157</v>
      </c>
      <c r="O154" s="25">
        <f t="shared" si="37"/>
        <v>400000</v>
      </c>
      <c r="P154" s="22">
        <f>O154/POWER(1.19,5)</f>
        <v>167619.74837240262</v>
      </c>
      <c r="Q154" s="26">
        <f t="shared" si="42"/>
        <v>-35213.012774276314</v>
      </c>
    </row>
    <row r="155" spans="2:17" x14ac:dyDescent="0.3">
      <c r="B155" s="27">
        <v>6</v>
      </c>
      <c r="C155" s="25">
        <f t="shared" si="34"/>
        <v>395000</v>
      </c>
      <c r="D155" s="22">
        <f>C155/POWER(1.19,6)</f>
        <v>139096.2197628131</v>
      </c>
      <c r="E155" s="26">
        <f t="shared" si="38"/>
        <v>-388266.40682403417</v>
      </c>
      <c r="F155" s="25">
        <f t="shared" si="35"/>
        <v>410000</v>
      </c>
      <c r="G155" s="22">
        <f>F155/POWER(1.19,6)</f>
        <v>144378.35469051488</v>
      </c>
      <c r="H155" s="26">
        <f t="shared" si="39"/>
        <v>-726896.77428476326</v>
      </c>
    </row>
    <row r="156" spans="2:17" x14ac:dyDescent="0.3">
      <c r="B156" s="27">
        <v>7</v>
      </c>
      <c r="C156" s="25">
        <f t="shared" si="34"/>
        <v>418000</v>
      </c>
      <c r="D156" s="22">
        <f>C156/POWER(1.19,7)</f>
        <v>123693.69186438863</v>
      </c>
      <c r="E156" s="26">
        <f t="shared" si="38"/>
        <v>-264572.71495964553</v>
      </c>
      <c r="F156" s="25">
        <f t="shared" si="35"/>
        <v>432000</v>
      </c>
      <c r="G156" s="22">
        <f>F156/POWER(1.19,7)</f>
        <v>127836.54278807629</v>
      </c>
      <c r="H156" s="26">
        <f t="shared" si="39"/>
        <v>-599060.23149668693</v>
      </c>
    </row>
    <row r="157" spans="2:17" x14ac:dyDescent="0.3">
      <c r="B157" s="27">
        <v>8</v>
      </c>
      <c r="C157" s="25">
        <f t="shared" si="34"/>
        <v>441000</v>
      </c>
      <c r="D157" s="22">
        <f>C157/POWER(1.19,8)</f>
        <v>109663.70092114387</v>
      </c>
      <c r="E157" s="26">
        <f t="shared" si="38"/>
        <v>-154909.01403850166</v>
      </c>
      <c r="F157" s="25">
        <f t="shared" si="35"/>
        <v>454000</v>
      </c>
      <c r="G157" s="22">
        <f>F157/POWER(1.19,8)</f>
        <v>112896.41772834312</v>
      </c>
      <c r="H157" s="26">
        <f t="shared" si="39"/>
        <v>-486163.81376834383</v>
      </c>
    </row>
    <row r="158" spans="2:17" x14ac:dyDescent="0.3">
      <c r="B158" s="27">
        <v>9</v>
      </c>
      <c r="C158" s="25">
        <f t="shared" si="34"/>
        <v>464000</v>
      </c>
      <c r="D158" s="22">
        <f>C158/POWER(1.19,9)</f>
        <v>96960.607533319533</v>
      </c>
      <c r="E158" s="26">
        <f t="shared" si="38"/>
        <v>-57948.406505182124</v>
      </c>
      <c r="F158" s="25">
        <f t="shared" si="35"/>
        <v>476000</v>
      </c>
      <c r="G158" s="22">
        <f>F158/POWER(1.19,9)</f>
        <v>99468.209452284689</v>
      </c>
      <c r="H158" s="26">
        <f t="shared" si="39"/>
        <v>-386695.60431605915</v>
      </c>
    </row>
    <row r="159" spans="2:17" x14ac:dyDescent="0.3">
      <c r="B159" s="27">
        <v>10</v>
      </c>
      <c r="C159" s="25">
        <f t="shared" si="34"/>
        <v>487000</v>
      </c>
      <c r="D159" s="22">
        <f>C159/POWER(1.19,10)</f>
        <v>85518.356760226408</v>
      </c>
      <c r="E159" s="26">
        <f t="shared" si="38"/>
        <v>27569.950255044285</v>
      </c>
      <c r="F159" s="25">
        <f t="shared" si="35"/>
        <v>498000</v>
      </c>
      <c r="G159" s="22">
        <f>F159/POWER(1.19,10)</f>
        <v>87449.982888280792</v>
      </c>
      <c r="H159" s="26">
        <f t="shared" si="39"/>
        <v>-299245.62142777839</v>
      </c>
    </row>
    <row r="161" spans="1:17" x14ac:dyDescent="0.3">
      <c r="D161" s="22">
        <f>D159</f>
        <v>85518.356760226408</v>
      </c>
      <c r="E161" s="51">
        <v>360</v>
      </c>
      <c r="G161" s="1"/>
      <c r="J161" s="22">
        <f>J154</f>
        <v>83809.874186201312</v>
      </c>
      <c r="K161" s="51">
        <v>360</v>
      </c>
      <c r="M161" s="22">
        <f>M151</f>
        <v>211849.4456606172</v>
      </c>
      <c r="N161" s="51">
        <v>360</v>
      </c>
      <c r="P161" s="1"/>
    </row>
    <row r="162" spans="1:17" x14ac:dyDescent="0.3">
      <c r="D162" s="22">
        <f>ABS(E158)</f>
        <v>57948.406505182124</v>
      </c>
      <c r="E162" s="60">
        <f>(E161*D162)/D161</f>
        <v>243.94091668945597</v>
      </c>
      <c r="G162" s="1"/>
      <c r="H162" s="1"/>
      <c r="J162" s="22">
        <f>ABS(K153)</f>
        <v>72282.896218839742</v>
      </c>
      <c r="K162" s="60">
        <f>(K161*J162)/J161</f>
        <v>310.48659709200012</v>
      </c>
      <c r="M162" s="22">
        <f>ABS(N150)</f>
        <v>205882.35294117645</v>
      </c>
      <c r="N162" s="60">
        <f>(N161*M162)/M161</f>
        <v>349.85999999999996</v>
      </c>
      <c r="P162" s="1"/>
      <c r="Q162" s="1"/>
    </row>
    <row r="163" spans="1:17" x14ac:dyDescent="0.3">
      <c r="D163" s="51"/>
      <c r="E163" s="61" t="s">
        <v>35</v>
      </c>
      <c r="H163" s="29"/>
      <c r="J163" s="51"/>
      <c r="K163" s="61" t="s">
        <v>62</v>
      </c>
      <c r="M163" s="51"/>
      <c r="N163" s="61" t="s">
        <v>64</v>
      </c>
      <c r="Q163" s="29"/>
    </row>
    <row r="164" spans="1:17" ht="15" customHeight="1" x14ac:dyDescent="0.3">
      <c r="D164" s="126" t="s">
        <v>36</v>
      </c>
      <c r="E164" s="127"/>
      <c r="G164" s="126" t="s">
        <v>37</v>
      </c>
      <c r="H164" s="127"/>
      <c r="J164" s="126" t="s">
        <v>63</v>
      </c>
      <c r="K164" s="127"/>
      <c r="M164" s="126" t="s">
        <v>120</v>
      </c>
      <c r="N164" s="127"/>
      <c r="P164" s="126" t="s">
        <v>65</v>
      </c>
      <c r="Q164" s="127"/>
    </row>
    <row r="165" spans="1:17" x14ac:dyDescent="0.3">
      <c r="D165" s="127"/>
      <c r="E165" s="127"/>
      <c r="G165" s="127"/>
      <c r="H165" s="127"/>
      <c r="J165" s="127"/>
      <c r="K165" s="127"/>
      <c r="M165" s="127"/>
      <c r="N165" s="127"/>
      <c r="P165" s="127"/>
      <c r="Q165" s="127"/>
    </row>
    <row r="167" spans="1:17" x14ac:dyDescent="0.3">
      <c r="B167" s="42" t="s">
        <v>66</v>
      </c>
    </row>
    <row r="168" spans="1:17" x14ac:dyDescent="0.3">
      <c r="B168" s="42"/>
    </row>
    <row r="169" spans="1:17" x14ac:dyDescent="0.3">
      <c r="A169" s="42"/>
      <c r="B169" s="40" t="s">
        <v>1</v>
      </c>
      <c r="C169" s="40" t="s">
        <v>2</v>
      </c>
      <c r="D169" s="40" t="s">
        <v>3</v>
      </c>
      <c r="E169" s="40" t="s">
        <v>4</v>
      </c>
      <c r="F169" s="40" t="s">
        <v>5</v>
      </c>
      <c r="G169" s="40" t="s">
        <v>6</v>
      </c>
    </row>
    <row r="170" spans="1:17" x14ac:dyDescent="0.3">
      <c r="A170" s="42"/>
      <c r="B170" s="18">
        <v>0</v>
      </c>
      <c r="C170" s="15">
        <f t="shared" ref="C170:G180" si="43">C97</f>
        <v>-1500000</v>
      </c>
      <c r="D170" s="15">
        <f t="shared" si="43"/>
        <v>-1900000</v>
      </c>
      <c r="E170" s="15">
        <f t="shared" si="43"/>
        <v>-600000</v>
      </c>
      <c r="F170" s="15">
        <f t="shared" si="43"/>
        <v>-500000</v>
      </c>
      <c r="G170" s="15">
        <f t="shared" si="43"/>
        <v>-900000</v>
      </c>
    </row>
    <row r="171" spans="1:17" x14ac:dyDescent="0.3">
      <c r="A171" s="42"/>
      <c r="B171" s="18">
        <v>1</v>
      </c>
      <c r="C171" s="15">
        <f t="shared" si="43"/>
        <v>280000</v>
      </c>
      <c r="D171" s="15">
        <f t="shared" si="43"/>
        <v>300000</v>
      </c>
      <c r="E171" s="15">
        <f t="shared" si="43"/>
        <v>200000</v>
      </c>
      <c r="F171" s="15">
        <f t="shared" si="43"/>
        <v>350000</v>
      </c>
      <c r="G171" s="15">
        <f t="shared" si="43"/>
        <v>200000</v>
      </c>
    </row>
    <row r="172" spans="1:17" x14ac:dyDescent="0.3">
      <c r="A172" s="42"/>
      <c r="B172" s="18">
        <v>2</v>
      </c>
      <c r="C172" s="15">
        <f t="shared" si="43"/>
        <v>303000</v>
      </c>
      <c r="D172" s="15">
        <f t="shared" si="43"/>
        <v>322000</v>
      </c>
      <c r="E172" s="15">
        <f t="shared" si="43"/>
        <v>200000</v>
      </c>
      <c r="F172" s="15">
        <f t="shared" si="43"/>
        <v>-200000</v>
      </c>
      <c r="G172" s="15">
        <f t="shared" si="43"/>
        <v>250000</v>
      </c>
    </row>
    <row r="173" spans="1:17" x14ac:dyDescent="0.3">
      <c r="A173" s="42"/>
      <c r="B173" s="18">
        <v>3</v>
      </c>
      <c r="C173" s="15">
        <f t="shared" si="43"/>
        <v>326000</v>
      </c>
      <c r="D173" s="15">
        <f t="shared" si="43"/>
        <v>344000</v>
      </c>
      <c r="E173" s="15">
        <f t="shared" si="43"/>
        <v>200000</v>
      </c>
      <c r="F173" s="15">
        <f t="shared" si="43"/>
        <v>350000</v>
      </c>
      <c r="G173" s="15">
        <f t="shared" si="43"/>
        <v>300000</v>
      </c>
    </row>
    <row r="174" spans="1:17" x14ac:dyDescent="0.3">
      <c r="A174" s="42"/>
      <c r="B174" s="18">
        <v>4</v>
      </c>
      <c r="C174" s="15">
        <f t="shared" si="43"/>
        <v>349000</v>
      </c>
      <c r="D174" s="15">
        <f t="shared" si="43"/>
        <v>366000</v>
      </c>
      <c r="E174" s="15">
        <f t="shared" si="43"/>
        <v>200000</v>
      </c>
      <c r="F174" s="15">
        <f t="shared" si="43"/>
        <v>-200000</v>
      </c>
      <c r="G174" s="15">
        <f t="shared" si="43"/>
        <v>350000</v>
      </c>
    </row>
    <row r="175" spans="1:17" x14ac:dyDescent="0.3">
      <c r="A175" s="42"/>
      <c r="B175" s="18">
        <v>5</v>
      </c>
      <c r="C175" s="15">
        <f t="shared" si="43"/>
        <v>372000</v>
      </c>
      <c r="D175" s="15">
        <f t="shared" si="43"/>
        <v>388000</v>
      </c>
      <c r="E175" s="15">
        <f t="shared" si="43"/>
        <v>-400000</v>
      </c>
      <c r="F175" s="15">
        <f t="shared" si="43"/>
        <v>350000</v>
      </c>
      <c r="G175" s="15">
        <f t="shared" si="43"/>
        <v>-500000</v>
      </c>
    </row>
    <row r="176" spans="1:17" x14ac:dyDescent="0.3">
      <c r="A176" s="42"/>
      <c r="B176" s="18">
        <v>6</v>
      </c>
      <c r="C176" s="15">
        <f t="shared" si="43"/>
        <v>395000</v>
      </c>
      <c r="D176" s="15">
        <f t="shared" si="43"/>
        <v>410000</v>
      </c>
      <c r="E176" s="15">
        <f t="shared" si="43"/>
        <v>200000</v>
      </c>
      <c r="F176" s="15">
        <f t="shared" si="43"/>
        <v>-200000</v>
      </c>
      <c r="G176" s="15">
        <f t="shared" si="43"/>
        <v>200000</v>
      </c>
    </row>
    <row r="177" spans="1:7" x14ac:dyDescent="0.3">
      <c r="A177" s="42"/>
      <c r="B177" s="18">
        <v>7</v>
      </c>
      <c r="C177" s="15">
        <f t="shared" si="43"/>
        <v>418000</v>
      </c>
      <c r="D177" s="15">
        <f t="shared" si="43"/>
        <v>432000</v>
      </c>
      <c r="E177" s="15">
        <f t="shared" si="43"/>
        <v>200000</v>
      </c>
      <c r="F177" s="15">
        <f t="shared" si="43"/>
        <v>350000</v>
      </c>
      <c r="G177" s="15">
        <f t="shared" si="43"/>
        <v>250000</v>
      </c>
    </row>
    <row r="178" spans="1:7" x14ac:dyDescent="0.3">
      <c r="A178" s="42"/>
      <c r="B178" s="18">
        <v>8</v>
      </c>
      <c r="C178" s="15">
        <f t="shared" si="43"/>
        <v>441000</v>
      </c>
      <c r="D178" s="15">
        <f t="shared" si="43"/>
        <v>454000</v>
      </c>
      <c r="E178" s="15">
        <f t="shared" si="43"/>
        <v>200000</v>
      </c>
      <c r="F178" s="15">
        <f t="shared" si="43"/>
        <v>-200000</v>
      </c>
      <c r="G178" s="15">
        <f t="shared" si="43"/>
        <v>300000</v>
      </c>
    </row>
    <row r="179" spans="1:7" x14ac:dyDescent="0.3">
      <c r="A179" s="42"/>
      <c r="B179" s="18">
        <v>9</v>
      </c>
      <c r="C179" s="15">
        <f t="shared" si="43"/>
        <v>464000</v>
      </c>
      <c r="D179" s="15">
        <f t="shared" si="43"/>
        <v>476000</v>
      </c>
      <c r="E179" s="15">
        <f t="shared" si="43"/>
        <v>200000</v>
      </c>
      <c r="F179" s="15">
        <f t="shared" si="43"/>
        <v>350000</v>
      </c>
      <c r="G179" s="15">
        <f t="shared" si="43"/>
        <v>350000</v>
      </c>
    </row>
    <row r="180" spans="1:7" x14ac:dyDescent="0.3">
      <c r="A180" s="42"/>
      <c r="B180" s="18">
        <v>10</v>
      </c>
      <c r="C180" s="15">
        <f t="shared" si="43"/>
        <v>487000</v>
      </c>
      <c r="D180" s="15">
        <f t="shared" si="43"/>
        <v>498000</v>
      </c>
      <c r="E180" s="15">
        <f t="shared" si="43"/>
        <v>200000</v>
      </c>
      <c r="F180" s="15">
        <f t="shared" si="43"/>
        <v>300000</v>
      </c>
      <c r="G180" s="15">
        <f t="shared" si="43"/>
        <v>400000</v>
      </c>
    </row>
    <row r="182" spans="1:7" x14ac:dyDescent="0.3">
      <c r="C182" s="24" t="s">
        <v>2</v>
      </c>
      <c r="D182" s="24" t="s">
        <v>3</v>
      </c>
      <c r="E182" s="24" t="s">
        <v>4</v>
      </c>
      <c r="F182" s="24" t="s">
        <v>5</v>
      </c>
      <c r="G182" s="24" t="s">
        <v>6</v>
      </c>
    </row>
    <row r="183" spans="1:7" x14ac:dyDescent="0.3">
      <c r="B183" s="24" t="s">
        <v>38</v>
      </c>
      <c r="C183" s="25">
        <f>(ABS(C149)*0.19)/(1-POWER(1.19,-10))</f>
        <v>345706.96403448912</v>
      </c>
      <c r="D183" s="25">
        <f>(ABS(F149)*0.19)/(1-POWER(1.19,-10))</f>
        <v>437895.48777701956</v>
      </c>
      <c r="E183" s="25">
        <f>(ABS(I149)*0.19)/(1-POWER(1.19,-5))</f>
        <v>196230.09993584396</v>
      </c>
      <c r="F183" s="25">
        <f>(ABS(L149)*0.19)/(1-POWER(1.19,-2))</f>
        <v>323310.50228310504</v>
      </c>
      <c r="G183" s="25">
        <f>(ABS(O149)*0.19/(1-POWER(1.19,-5)))</f>
        <v>294345.14990376594</v>
      </c>
    </row>
    <row r="184" spans="1:7" x14ac:dyDescent="0.3">
      <c r="A184" s="42"/>
      <c r="B184" s="63"/>
      <c r="C184" s="63"/>
      <c r="D184" s="63"/>
      <c r="E184" s="63"/>
      <c r="F184" s="63"/>
      <c r="G184" s="63"/>
    </row>
    <row r="186" spans="1:7" x14ac:dyDescent="0.3">
      <c r="B186" s="3" t="s">
        <v>78</v>
      </c>
    </row>
    <row r="188" spans="1:7" x14ac:dyDescent="0.3">
      <c r="B188" s="24" t="s">
        <v>18</v>
      </c>
      <c r="C188" s="24" t="s">
        <v>2</v>
      </c>
      <c r="D188" s="24" t="s">
        <v>3</v>
      </c>
      <c r="E188" s="24" t="s">
        <v>4</v>
      </c>
      <c r="F188" s="24" t="s">
        <v>5</v>
      </c>
      <c r="G188" s="24" t="s">
        <v>6</v>
      </c>
    </row>
    <row r="189" spans="1:7" x14ac:dyDescent="0.3">
      <c r="B189" s="23">
        <v>0.05</v>
      </c>
      <c r="C189" s="22">
        <f>NPV($B$189,C98:C107)+C97</f>
        <v>1390082.8813092676</v>
      </c>
      <c r="D189" s="22">
        <f>NPV($B$189,D98:D107)+D97</f>
        <v>1112865.5320174191</v>
      </c>
      <c r="E189" s="22">
        <f>NPV($B$189,E98:E107)+E97</f>
        <v>474231.28595588682</v>
      </c>
      <c r="F189" s="22">
        <f>NPV($B$189,F98:F107)+F97</f>
        <v>437878.87098426034</v>
      </c>
      <c r="G189" s="22">
        <f>NPV($B$189,G98:G107)+G97</f>
        <v>673711.26515406929</v>
      </c>
    </row>
    <row r="190" spans="1:7" x14ac:dyDescent="0.3">
      <c r="B190" s="23">
        <v>0.1</v>
      </c>
      <c r="C190" s="22">
        <f>NPV($B$190,C98:C107)+C97</f>
        <v>746979.65822146367</v>
      </c>
      <c r="D190" s="22">
        <f>NPV($B$190,D98:D107)+D97</f>
        <v>446979.65822146367</v>
      </c>
      <c r="E190" s="22">
        <f>NPV($B$190,E98:E107)+E97</f>
        <v>256360.62730544305</v>
      </c>
      <c r="F190" s="22">
        <f>NPV($B$190,F98:F107)+F97</f>
        <v>234078.74688398757</v>
      </c>
      <c r="G190" s="22">
        <f>NPV($B$190,G98:G107)+G97</f>
        <v>326206.25201832037</v>
      </c>
    </row>
    <row r="191" spans="1:7" x14ac:dyDescent="0.3">
      <c r="B191" s="23">
        <f>12%</f>
        <v>0.12</v>
      </c>
      <c r="C191" s="22">
        <f>NPV($B$191,C171:C180)+C170</f>
        <v>547906.49160162243</v>
      </c>
      <c r="D191" s="22">
        <f>NPV($B$191,D171:D180)+D170</f>
        <v>240656.86331564048</v>
      </c>
      <c r="E191" s="22">
        <f>NPV($B$191,E171:E180)+E170</f>
        <v>189588.49225101294</v>
      </c>
      <c r="F191" s="22">
        <f>NPV($B$191,F171:F180)+F170</f>
        <v>172704.93030236952</v>
      </c>
      <c r="G191" s="22">
        <f>NPV($B$191,G171:G180)+G170</f>
        <v>220703.17172892764</v>
      </c>
    </row>
    <row r="192" spans="1:7" x14ac:dyDescent="0.3">
      <c r="B192" s="21">
        <f>D29</f>
        <v>0.14738085161917169</v>
      </c>
      <c r="C192" s="22">
        <f>NPV($B$192,C171:C180)+C170</f>
        <v>315851.57266287017</v>
      </c>
      <c r="D192" s="22">
        <f>NPV($B$192,D171:D180)+D170</f>
        <v>0</v>
      </c>
      <c r="E192" s="22">
        <f>NPV($B$192,E171:E180)+E170</f>
        <v>112129.14829731511</v>
      </c>
      <c r="F192" s="22">
        <f>NPV($B$192,F171:F180)+F170</f>
        <v>102316.30044591904</v>
      </c>
      <c r="G192" s="22">
        <f>NPV($B$192,G171:G180)+G170</f>
        <v>99064.838870142121</v>
      </c>
    </row>
    <row r="193" spans="2:7" x14ac:dyDescent="0.3">
      <c r="B193" s="23">
        <v>0.15</v>
      </c>
      <c r="C193" s="22">
        <f>NPV($B$193,C171:C180)+C170</f>
        <v>295783.18848330551</v>
      </c>
      <c r="D193" s="22">
        <f>NPV($B$193,D171:D180)+D170</f>
        <v>-20820.916097179754</v>
      </c>
      <c r="E193" s="22">
        <f>NPV($B$193,E171:E180)+E170</f>
        <v>105447.68399187212</v>
      </c>
      <c r="F193" s="22">
        <f>NPV($B$193,F171:F180)+F170</f>
        <v>96290.328286738251</v>
      </c>
      <c r="G193" s="22">
        <f>NPV($B$193,G171:G180)+G170</f>
        <v>88615.136320202728</v>
      </c>
    </row>
    <row r="194" spans="2:7" x14ac:dyDescent="0.3">
      <c r="B194" s="21">
        <f>G118</f>
        <v>0.17432326005713539</v>
      </c>
      <c r="C194" s="22">
        <f>NPV($B$194,C171:C180)+C170</f>
        <v>124725.22397477529</v>
      </c>
      <c r="D194" s="22">
        <f>NPV($B$194,D171:D180)+D170</f>
        <v>-198356.32448344748</v>
      </c>
      <c r="E194" s="22">
        <f>NPV($B$194,E171:E180)+E170</f>
        <v>48590.511804454494</v>
      </c>
      <c r="F194" s="22">
        <f>NPV($B$194,F171:F180)+F170</f>
        <v>45340.463931471924</v>
      </c>
      <c r="G194" s="22">
        <f>NPV($B$194,G171:G180)+G170</f>
        <v>0</v>
      </c>
    </row>
    <row r="195" spans="2:7" x14ac:dyDescent="0.3">
      <c r="B195" s="23">
        <v>0.19</v>
      </c>
      <c r="C195" s="22">
        <f>NPV($B$195,C171:C180)+C170</f>
        <v>27569.95025504427</v>
      </c>
      <c r="D195" s="22">
        <f>NPV($B$195,D171:D180)+D170</f>
        <v>-299245.62142777839</v>
      </c>
      <c r="E195" s="22">
        <f>NPV($B$195,E171:E180)+E170</f>
        <v>16357.350833320175</v>
      </c>
      <c r="F195" s="22">
        <f>NPV($B$195,F171:F180)+F170</f>
        <v>16741.552340552094</v>
      </c>
      <c r="G195" s="22">
        <f>NPV($B$195,G171:G180)+G170</f>
        <v>-49969.003625922487</v>
      </c>
    </row>
    <row r="196" spans="2:7" x14ac:dyDescent="0.3">
      <c r="B196" s="21">
        <f>C118</f>
        <v>0.19473808422098338</v>
      </c>
      <c r="C196" s="22">
        <f>NPV($B$196,C171:C180)+C170</f>
        <v>1.6298145055770874E-8</v>
      </c>
      <c r="D196" s="22">
        <f>NPV($B$196,D171:D180)+D170</f>
        <v>-327883.18158447323</v>
      </c>
      <c r="E196" s="22">
        <f>NPV($B$196,E171:E180)+E170</f>
        <v>7215.7213107220596</v>
      </c>
      <c r="F196" s="22">
        <f>NPV($B$196,F171:F180)+F170</f>
        <v>8671.7876625304925</v>
      </c>
      <c r="G196" s="22">
        <f>NPV($B$196,G171:G180)+G170</f>
        <v>-64101.866102616303</v>
      </c>
    </row>
    <row r="197" spans="2:7" x14ac:dyDescent="0.3">
      <c r="B197" s="21">
        <f>E118</f>
        <v>0.198577097873192</v>
      </c>
      <c r="C197" s="22">
        <f>NPV($B$197,C171:C180)+C170</f>
        <v>-21765.004447432468</v>
      </c>
      <c r="D197" s="22">
        <f>NPV($B$197,D171:D180)+D170</f>
        <v>-350493.6334643017</v>
      </c>
      <c r="E197" s="22">
        <f>NPV($B$197,E171:E180)+E170</f>
        <v>1.7229467630386353E-8</v>
      </c>
      <c r="F197" s="22">
        <f>NPV($B$197,F171:F180)+F170</f>
        <v>2315.5814930204069</v>
      </c>
      <c r="G197" s="22">
        <f>NPV($B$197,G171:G180)+G170</f>
        <v>-75244.57171464467</v>
      </c>
    </row>
    <row r="198" spans="2:7" x14ac:dyDescent="0.3">
      <c r="B198" s="23">
        <f>F118</f>
        <v>0.19999999999999973</v>
      </c>
      <c r="C198" s="22">
        <f>NPV($B$198,C171:C180)+C170</f>
        <v>-29704.946530766319</v>
      </c>
      <c r="D198" s="22">
        <f>NPV($B$198,D171:D180)+D170</f>
        <v>-358742.58610301255</v>
      </c>
      <c r="E198" s="22">
        <f>NPV($B$198,E171:E180)+E170</f>
        <v>-2632.1260997217614</v>
      </c>
      <c r="F198" s="22">
        <f>NPV($B$198,F171:F180)+F170</f>
        <v>0</v>
      </c>
      <c r="G198" s="22">
        <f>NPV($B$198,G171:G180)+G170</f>
        <v>-79306.319949850207</v>
      </c>
    </row>
    <row r="199" spans="2:7" x14ac:dyDescent="0.3">
      <c r="B199" s="23">
        <v>0.25</v>
      </c>
      <c r="C199" s="22">
        <f>NPV($B$199,C171:C180)+C170</f>
        <v>-270557.03121919977</v>
      </c>
      <c r="D199" s="22">
        <f>NPV($B$199,D171:D180)+D170</f>
        <v>-609134.01159679983</v>
      </c>
      <c r="E199" s="22">
        <f>NPV($B$199,E171:E180)+E170</f>
        <v>-82507.345919999934</v>
      </c>
      <c r="F199" s="22">
        <f>NPV($B$199,F171:F180)+F170</f>
        <v>-69426.452479999978</v>
      </c>
      <c r="G199" s="22">
        <f>NPV($B$199,G171:G180)+G170</f>
        <v>-201764.87423999992</v>
      </c>
    </row>
  </sheetData>
  <mergeCells count="38">
    <mergeCell ref="B94:E94"/>
    <mergeCell ref="F94:G94"/>
    <mergeCell ref="B78:B82"/>
    <mergeCell ref="B56:M56"/>
    <mergeCell ref="B62:M62"/>
    <mergeCell ref="B68:M68"/>
    <mergeCell ref="B75:M75"/>
    <mergeCell ref="B85:M85"/>
    <mergeCell ref="J94:Y94"/>
    <mergeCell ref="B88:B89"/>
    <mergeCell ref="B71:B72"/>
    <mergeCell ref="B3:D3"/>
    <mergeCell ref="E3:G3"/>
    <mergeCell ref="F5:G5"/>
    <mergeCell ref="B5:E5"/>
    <mergeCell ref="O147:Q147"/>
    <mergeCell ref="B147:B148"/>
    <mergeCell ref="K123:L123"/>
    <mergeCell ref="G140:H141"/>
    <mergeCell ref="I140:J141"/>
    <mergeCell ref="K140:L141"/>
    <mergeCell ref="D145:E145"/>
    <mergeCell ref="C140:D141"/>
    <mergeCell ref="E140:F141"/>
    <mergeCell ref="C123:D123"/>
    <mergeCell ref="E123:F123"/>
    <mergeCell ref="G123:H123"/>
    <mergeCell ref="B123:B124"/>
    <mergeCell ref="I123:J123"/>
    <mergeCell ref="P164:Q165"/>
    <mergeCell ref="I147:K147"/>
    <mergeCell ref="D164:E165"/>
    <mergeCell ref="F147:H147"/>
    <mergeCell ref="G164:H165"/>
    <mergeCell ref="C147:E147"/>
    <mergeCell ref="J164:K165"/>
    <mergeCell ref="L147:N147"/>
    <mergeCell ref="M164:N165"/>
  </mergeCells>
  <pageMargins left="0.7" right="0.7" top="0.75" bottom="0.75" header="0.3" footer="0.3"/>
  <pageSetup paperSize="9" orientation="portrait" r:id="rId1"/>
  <ignoredErrors>
    <ignoredError sqref="F29 E97:E107 E125:E135 G125:G129 I125:I126 K125:K129 G138:I138 K138 F149 I149 L149:L151 O149 C192:G192" 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N35"/>
  <sheetViews>
    <sheetView showGridLines="0" topLeftCell="A19" workbookViewId="0">
      <selection activeCell="O39" sqref="O39"/>
    </sheetView>
  </sheetViews>
  <sheetFormatPr baseColWidth="10" defaultRowHeight="16.5" x14ac:dyDescent="0.3"/>
  <cols>
    <col min="1" max="1" width="4.5" customWidth="1"/>
    <col min="2" max="2" width="1.25" hidden="1" customWidth="1"/>
    <col min="3" max="3" width="15" hidden="1" customWidth="1"/>
    <col min="4" max="5" width="14.75" hidden="1" customWidth="1"/>
    <col min="6" max="6" width="14.875" hidden="1" customWidth="1"/>
    <col min="7" max="7" width="13.5" hidden="1" customWidth="1"/>
    <col min="8" max="8" width="2" hidden="1" customWidth="1"/>
    <col min="9" max="9" width="10.875" customWidth="1"/>
    <col min="10" max="10" width="15.875" customWidth="1"/>
    <col min="11" max="11" width="15.5" customWidth="1"/>
    <col min="12" max="12" width="14.25" customWidth="1"/>
    <col min="13" max="13" width="15" customWidth="1"/>
    <col min="14" max="14" width="15.125" customWidth="1"/>
  </cols>
  <sheetData>
    <row r="2" spans="2:14" x14ac:dyDescent="0.3">
      <c r="I2" s="95" t="s">
        <v>0</v>
      </c>
      <c r="J2" s="95"/>
      <c r="K2" s="95"/>
      <c r="L2" s="95"/>
      <c r="M2" s="101">
        <v>0.19</v>
      </c>
      <c r="N2" s="101"/>
    </row>
    <row r="4" spans="2:14" x14ac:dyDescent="0.3">
      <c r="B4" s="24" t="s">
        <v>1</v>
      </c>
      <c r="C4" s="24" t="s">
        <v>2</v>
      </c>
      <c r="D4" s="24" t="s">
        <v>3</v>
      </c>
      <c r="E4" s="24" t="s">
        <v>4</v>
      </c>
      <c r="F4" s="24" t="s">
        <v>5</v>
      </c>
      <c r="G4" s="24" t="s">
        <v>6</v>
      </c>
      <c r="I4" s="24" t="s">
        <v>1</v>
      </c>
      <c r="J4" s="24" t="s">
        <v>2</v>
      </c>
      <c r="K4" s="24" t="s">
        <v>3</v>
      </c>
      <c r="L4" s="24" t="s">
        <v>4</v>
      </c>
      <c r="M4" s="24" t="s">
        <v>5</v>
      </c>
      <c r="N4" s="24" t="s">
        <v>6</v>
      </c>
    </row>
    <row r="5" spans="2:14" x14ac:dyDescent="0.3">
      <c r="B5" s="18">
        <v>0</v>
      </c>
      <c r="C5" s="15">
        <v>-1500000</v>
      </c>
      <c r="D5" s="15">
        <v>-1900000</v>
      </c>
      <c r="E5" s="15">
        <v>-600000</v>
      </c>
      <c r="F5" s="15">
        <v>-500000</v>
      </c>
      <c r="G5" s="15">
        <v>-900000</v>
      </c>
      <c r="I5" s="18">
        <v>0</v>
      </c>
      <c r="J5" s="15">
        <f>Ej_Amber_A!C97</f>
        <v>-1500000</v>
      </c>
      <c r="K5" s="15">
        <f>Ej_Amber_A!D97</f>
        <v>-1900000</v>
      </c>
      <c r="L5" s="15">
        <f>Ej_Amber_A!E97</f>
        <v>-600000</v>
      </c>
      <c r="M5" s="15">
        <f>Ej_Amber_A!F97</f>
        <v>-500000</v>
      </c>
      <c r="N5" s="15">
        <f>Ej_Amber_A!G97</f>
        <v>-900000</v>
      </c>
    </row>
    <row r="6" spans="2:14" x14ac:dyDescent="0.3">
      <c r="B6" s="18">
        <v>1</v>
      </c>
      <c r="C6" s="15">
        <v>280000</v>
      </c>
      <c r="D6" s="15">
        <v>300000</v>
      </c>
      <c r="E6" s="15">
        <v>200000</v>
      </c>
      <c r="F6" s="15">
        <v>350000</v>
      </c>
      <c r="G6" s="15">
        <v>200000</v>
      </c>
      <c r="I6" s="18">
        <v>1</v>
      </c>
      <c r="J6" s="15">
        <f>Ej_Amber_A!C98</f>
        <v>280000</v>
      </c>
      <c r="K6" s="15">
        <f>Ej_Amber_A!D98</f>
        <v>300000</v>
      </c>
      <c r="L6" s="15">
        <f>Ej_Amber_A!E98</f>
        <v>200000</v>
      </c>
      <c r="M6" s="15">
        <f>Ej_Amber_A!F98</f>
        <v>350000</v>
      </c>
      <c r="N6" s="15">
        <f>Ej_Amber_A!G98</f>
        <v>200000</v>
      </c>
    </row>
    <row r="7" spans="2:14" x14ac:dyDescent="0.3">
      <c r="B7" s="18">
        <v>2</v>
      </c>
      <c r="C7" s="15">
        <v>303000</v>
      </c>
      <c r="D7" s="15">
        <v>322000</v>
      </c>
      <c r="E7" s="15">
        <v>200000</v>
      </c>
      <c r="F7" s="15">
        <v>300000</v>
      </c>
      <c r="G7" s="15">
        <v>250000</v>
      </c>
      <c r="I7" s="18">
        <v>2</v>
      </c>
      <c r="J7" s="15">
        <f>Ej_Amber_A!C99</f>
        <v>303000</v>
      </c>
      <c r="K7" s="15">
        <f>Ej_Amber_A!D99</f>
        <v>322000</v>
      </c>
      <c r="L7" s="15">
        <f>Ej_Amber_A!E99</f>
        <v>200000</v>
      </c>
      <c r="M7" s="15">
        <f>Ej_Amber_A!F99</f>
        <v>-200000</v>
      </c>
      <c r="N7" s="15">
        <f>Ej_Amber_A!G99</f>
        <v>250000</v>
      </c>
    </row>
    <row r="8" spans="2:14" x14ac:dyDescent="0.3">
      <c r="B8" s="18">
        <v>3</v>
      </c>
      <c r="C8" s="15">
        <v>326000</v>
      </c>
      <c r="D8" s="15">
        <v>344000</v>
      </c>
      <c r="E8" s="15">
        <v>200000</v>
      </c>
      <c r="F8" s="15"/>
      <c r="G8" s="15">
        <v>300000</v>
      </c>
      <c r="I8" s="18">
        <v>3</v>
      </c>
      <c r="J8" s="15">
        <f>Ej_Amber_A!C100</f>
        <v>326000</v>
      </c>
      <c r="K8" s="15">
        <f>Ej_Amber_A!D100</f>
        <v>344000</v>
      </c>
      <c r="L8" s="15">
        <f>Ej_Amber_A!E100</f>
        <v>200000</v>
      </c>
      <c r="M8" s="15">
        <f>Ej_Amber_A!F100</f>
        <v>350000</v>
      </c>
      <c r="N8" s="15">
        <f>Ej_Amber_A!G100</f>
        <v>300000</v>
      </c>
    </row>
    <row r="9" spans="2:14" x14ac:dyDescent="0.3">
      <c r="B9" s="18">
        <v>4</v>
      </c>
      <c r="C9" s="15">
        <v>349000</v>
      </c>
      <c r="D9" s="15">
        <v>366000</v>
      </c>
      <c r="E9" s="15">
        <v>200000</v>
      </c>
      <c r="F9" s="15"/>
      <c r="G9" s="15">
        <v>350000</v>
      </c>
      <c r="I9" s="18">
        <v>4</v>
      </c>
      <c r="J9" s="15">
        <f>Ej_Amber_A!C101</f>
        <v>349000</v>
      </c>
      <c r="K9" s="15">
        <f>Ej_Amber_A!D101</f>
        <v>366000</v>
      </c>
      <c r="L9" s="15">
        <f>Ej_Amber_A!E101</f>
        <v>200000</v>
      </c>
      <c r="M9" s="15">
        <f>Ej_Amber_A!F101</f>
        <v>-200000</v>
      </c>
      <c r="N9" s="15">
        <f>Ej_Amber_A!G101</f>
        <v>350000</v>
      </c>
    </row>
    <row r="10" spans="2:14" x14ac:dyDescent="0.3">
      <c r="B10" s="18">
        <v>5</v>
      </c>
      <c r="C10" s="15">
        <v>372000</v>
      </c>
      <c r="D10" s="15">
        <v>388000</v>
      </c>
      <c r="E10" s="15">
        <v>200000</v>
      </c>
      <c r="F10" s="15"/>
      <c r="G10" s="15">
        <v>400000</v>
      </c>
      <c r="I10" s="18">
        <v>5</v>
      </c>
      <c r="J10" s="15">
        <f>Ej_Amber_A!C102</f>
        <v>372000</v>
      </c>
      <c r="K10" s="15">
        <f>Ej_Amber_A!D102</f>
        <v>388000</v>
      </c>
      <c r="L10" s="15">
        <f>Ej_Amber_A!E102</f>
        <v>-400000</v>
      </c>
      <c r="M10" s="15">
        <f>Ej_Amber_A!F102</f>
        <v>350000</v>
      </c>
      <c r="N10" s="15">
        <f>Ej_Amber_A!G102</f>
        <v>-500000</v>
      </c>
    </row>
    <row r="11" spans="2:14" x14ac:dyDescent="0.3">
      <c r="B11" s="18">
        <v>6</v>
      </c>
      <c r="C11" s="15">
        <v>395000</v>
      </c>
      <c r="D11" s="15">
        <v>410000</v>
      </c>
      <c r="E11" s="15"/>
      <c r="F11" s="15"/>
      <c r="G11" s="15"/>
      <c r="I11" s="18">
        <v>6</v>
      </c>
      <c r="J11" s="15">
        <f>Ej_Amber_A!C103</f>
        <v>395000</v>
      </c>
      <c r="K11" s="15">
        <f>Ej_Amber_A!D103</f>
        <v>410000</v>
      </c>
      <c r="L11" s="15">
        <f>Ej_Amber_A!E103</f>
        <v>200000</v>
      </c>
      <c r="M11" s="15">
        <f>Ej_Amber_A!F103</f>
        <v>-200000</v>
      </c>
      <c r="N11" s="15">
        <f>Ej_Amber_A!G103</f>
        <v>200000</v>
      </c>
    </row>
    <row r="12" spans="2:14" x14ac:dyDescent="0.3">
      <c r="B12" s="18">
        <v>7</v>
      </c>
      <c r="C12" s="15">
        <v>418000</v>
      </c>
      <c r="D12" s="15">
        <v>432000</v>
      </c>
      <c r="E12" s="15"/>
      <c r="F12" s="15"/>
      <c r="G12" s="15"/>
      <c r="I12" s="18">
        <v>7</v>
      </c>
      <c r="J12" s="15">
        <f>Ej_Amber_A!C104</f>
        <v>418000</v>
      </c>
      <c r="K12" s="15">
        <f>Ej_Amber_A!D104</f>
        <v>432000</v>
      </c>
      <c r="L12" s="15">
        <f>Ej_Amber_A!E104</f>
        <v>200000</v>
      </c>
      <c r="M12" s="15">
        <f>Ej_Amber_A!F104</f>
        <v>350000</v>
      </c>
      <c r="N12" s="15">
        <f>Ej_Amber_A!G104</f>
        <v>250000</v>
      </c>
    </row>
    <row r="13" spans="2:14" x14ac:dyDescent="0.3">
      <c r="B13" s="18">
        <v>8</v>
      </c>
      <c r="C13" s="15">
        <v>441000</v>
      </c>
      <c r="D13" s="15">
        <v>454000</v>
      </c>
      <c r="E13" s="15"/>
      <c r="F13" s="15"/>
      <c r="G13" s="15"/>
      <c r="I13" s="18">
        <v>8</v>
      </c>
      <c r="J13" s="15">
        <f>Ej_Amber_A!C105</f>
        <v>441000</v>
      </c>
      <c r="K13" s="15">
        <f>Ej_Amber_A!D105</f>
        <v>454000</v>
      </c>
      <c r="L13" s="15">
        <f>Ej_Amber_A!E105</f>
        <v>200000</v>
      </c>
      <c r="M13" s="15">
        <f>Ej_Amber_A!F105</f>
        <v>-200000</v>
      </c>
      <c r="N13" s="15">
        <f>Ej_Amber_A!G105</f>
        <v>300000</v>
      </c>
    </row>
    <row r="14" spans="2:14" x14ac:dyDescent="0.3">
      <c r="B14" s="18">
        <v>9</v>
      </c>
      <c r="C14" s="15">
        <v>464000</v>
      </c>
      <c r="D14" s="15">
        <v>476000</v>
      </c>
      <c r="E14" s="15"/>
      <c r="F14" s="15"/>
      <c r="G14" s="15"/>
      <c r="I14" s="18">
        <v>9</v>
      </c>
      <c r="J14" s="15">
        <f>Ej_Amber_A!C106</f>
        <v>464000</v>
      </c>
      <c r="K14" s="15">
        <f>Ej_Amber_A!D106</f>
        <v>476000</v>
      </c>
      <c r="L14" s="15">
        <f>Ej_Amber_A!E106</f>
        <v>200000</v>
      </c>
      <c r="M14" s="15">
        <f>Ej_Amber_A!F106</f>
        <v>350000</v>
      </c>
      <c r="N14" s="15">
        <f>Ej_Amber_A!G106</f>
        <v>350000</v>
      </c>
    </row>
    <row r="15" spans="2:14" x14ac:dyDescent="0.3">
      <c r="B15" s="18">
        <v>10</v>
      </c>
      <c r="C15" s="15">
        <v>487000</v>
      </c>
      <c r="D15" s="15">
        <v>498000</v>
      </c>
      <c r="E15" s="15"/>
      <c r="F15" s="15"/>
      <c r="G15" s="15"/>
      <c r="I15" s="18">
        <v>10</v>
      </c>
      <c r="J15" s="15">
        <f>Ej_Amber_A!C107</f>
        <v>487000</v>
      </c>
      <c r="K15" s="15">
        <f>Ej_Amber_A!D107</f>
        <v>498000</v>
      </c>
      <c r="L15" s="15">
        <f>Ej_Amber_A!E107</f>
        <v>200000</v>
      </c>
      <c r="M15" s="15">
        <f>Ej_Amber_A!F107</f>
        <v>300000</v>
      </c>
      <c r="N15" s="15">
        <f>Ej_Amber_A!G107</f>
        <v>400000</v>
      </c>
    </row>
    <row r="16" spans="2:14" x14ac:dyDescent="0.3">
      <c r="B16" s="11"/>
      <c r="C16" s="12"/>
      <c r="D16" s="12"/>
      <c r="E16" s="12"/>
      <c r="F16" s="12"/>
      <c r="G16" s="12"/>
      <c r="I16" s="11"/>
      <c r="J16" s="12"/>
      <c r="K16" s="12"/>
      <c r="L16" s="12"/>
      <c r="M16" s="12"/>
      <c r="N16" s="12"/>
    </row>
    <row r="17" spans="2:14" x14ac:dyDescent="0.3">
      <c r="B17" s="11"/>
      <c r="C17" s="24" t="s">
        <v>2</v>
      </c>
      <c r="D17" s="24" t="s">
        <v>3</v>
      </c>
      <c r="E17" s="24" t="s">
        <v>4</v>
      </c>
      <c r="F17" s="24" t="s">
        <v>5</v>
      </c>
      <c r="G17" s="24" t="s">
        <v>6</v>
      </c>
      <c r="I17" s="11"/>
      <c r="J17" s="24" t="s">
        <v>2</v>
      </c>
      <c r="K17" s="24" t="s">
        <v>3</v>
      </c>
      <c r="L17" s="24" t="s">
        <v>4</v>
      </c>
      <c r="M17" s="24" t="s">
        <v>5</v>
      </c>
      <c r="N17" s="24" t="s">
        <v>6</v>
      </c>
    </row>
    <row r="18" spans="2:14" x14ac:dyDescent="0.3">
      <c r="B18" s="13" t="s">
        <v>7</v>
      </c>
      <c r="C18" s="15">
        <f>NPV(M2,C6:C15)+C5</f>
        <v>27569.95025504427</v>
      </c>
      <c r="D18" s="15">
        <f>NPV(M2,D6:D15)+D5</f>
        <v>-299245.62142777839</v>
      </c>
      <c r="E18" s="15">
        <f>NPV(M2,E6:E10)+E5</f>
        <v>11526.977967361687</v>
      </c>
      <c r="F18" s="15">
        <f>NPV(M2,F6:F7)+F5</f>
        <v>5967.0927194406977</v>
      </c>
      <c r="G18" s="15">
        <f>NPV(M2,G6:G10)+G5</f>
        <v>-35213.012774276431</v>
      </c>
      <c r="I18" s="13" t="s">
        <v>7</v>
      </c>
      <c r="J18" s="15">
        <f>NPV($M$2,J6:J15)+J5</f>
        <v>27569.95025504427</v>
      </c>
      <c r="K18" s="15">
        <f>NPV($M$2,K6:K15)+K5</f>
        <v>-299245.62142777839</v>
      </c>
      <c r="L18" s="15">
        <f>NPV($M$2,L6:L15)+L5</f>
        <v>16357.350833320175</v>
      </c>
      <c r="M18" s="15">
        <f>NPV($M$2,M6:M15)+M5</f>
        <v>16741.552340552094</v>
      </c>
      <c r="N18" s="15">
        <f>NPV($M$2,N6:N15)+N5</f>
        <v>-49969.003625922487</v>
      </c>
    </row>
    <row r="19" spans="2:14" x14ac:dyDescent="0.3">
      <c r="B19" s="13" t="s">
        <v>8</v>
      </c>
      <c r="C19" s="34">
        <f>IRR(C5:C15)</f>
        <v>0.19473808422098338</v>
      </c>
      <c r="D19" s="34">
        <f>IRR(D5:D15)</f>
        <v>0.14738085161917169</v>
      </c>
      <c r="E19" s="34">
        <f>IRR(E5:E10)</f>
        <v>0.19857709787320132</v>
      </c>
      <c r="F19" s="35">
        <f>IRR(F5:F7)</f>
        <v>0.20000000000000018</v>
      </c>
      <c r="G19" s="34">
        <f>IRR(G5:G10)</f>
        <v>0.17432326005712007</v>
      </c>
      <c r="I19" s="13" t="s">
        <v>8</v>
      </c>
      <c r="J19" s="16">
        <f>IRR(J5:J15)</f>
        <v>0.19473808422098338</v>
      </c>
      <c r="K19" s="16">
        <f t="shared" ref="K19:N19" si="0">IRR(K5:K15)</f>
        <v>0.14738085161917169</v>
      </c>
      <c r="L19" s="16">
        <f t="shared" si="0"/>
        <v>0.198577097873192</v>
      </c>
      <c r="M19" s="20">
        <f t="shared" si="0"/>
        <v>0.19999999999999973</v>
      </c>
      <c r="N19" s="16">
        <f t="shared" si="0"/>
        <v>0.17432326005713539</v>
      </c>
    </row>
    <row r="20" spans="2:14" x14ac:dyDescent="0.3">
      <c r="B20" s="33"/>
      <c r="C20" s="36">
        <v>1</v>
      </c>
      <c r="D20" s="36">
        <v>5</v>
      </c>
      <c r="E20" s="36">
        <v>2</v>
      </c>
      <c r="F20" s="36">
        <v>3</v>
      </c>
      <c r="G20" s="36">
        <v>4</v>
      </c>
      <c r="J20" s="36">
        <v>1</v>
      </c>
      <c r="K20" s="36">
        <v>5</v>
      </c>
      <c r="L20" s="36">
        <v>3</v>
      </c>
      <c r="M20" s="36">
        <v>2</v>
      </c>
      <c r="N20" s="36">
        <v>4</v>
      </c>
    </row>
    <row r="21" spans="2:14" x14ac:dyDescent="0.3">
      <c r="C21" s="5"/>
      <c r="J21" s="5"/>
    </row>
    <row r="22" spans="2:14" x14ac:dyDescent="0.3">
      <c r="J22" s="95" t="s">
        <v>40</v>
      </c>
      <c r="K22" s="95"/>
      <c r="L22" s="95"/>
      <c r="M22" s="129"/>
      <c r="N22" s="67">
        <v>4000000</v>
      </c>
    </row>
    <row r="24" spans="2:14" x14ac:dyDescent="0.3">
      <c r="C24" s="22">
        <f>C18</f>
        <v>27569.95025504427</v>
      </c>
      <c r="D24" s="22">
        <f>C24</f>
        <v>27569.95025504427</v>
      </c>
      <c r="E24" s="22">
        <f>C5</f>
        <v>-1500000</v>
      </c>
      <c r="F24" s="38">
        <f>E24</f>
        <v>-1500000</v>
      </c>
      <c r="J24" s="68" t="s">
        <v>79</v>
      </c>
      <c r="K24" s="68" t="s">
        <v>7</v>
      </c>
      <c r="L24" s="68" t="s">
        <v>41</v>
      </c>
      <c r="M24" s="68" t="s">
        <v>42</v>
      </c>
      <c r="N24" s="39" t="s">
        <v>43</v>
      </c>
    </row>
    <row r="25" spans="2:14" x14ac:dyDescent="0.3">
      <c r="C25" s="22">
        <f>E18</f>
        <v>11526.977967361687</v>
      </c>
      <c r="D25" s="22">
        <f>D24+C25</f>
        <v>39096.928222405957</v>
      </c>
      <c r="E25" s="22">
        <f>E5</f>
        <v>-600000</v>
      </c>
      <c r="F25" s="37">
        <f>F24+E25</f>
        <v>-2100000</v>
      </c>
      <c r="J25" s="18">
        <v>1</v>
      </c>
      <c r="K25" s="22">
        <f>J18</f>
        <v>27569.95025504427</v>
      </c>
      <c r="L25" s="22">
        <f>K25</f>
        <v>27569.95025504427</v>
      </c>
      <c r="M25" s="22">
        <f>J5</f>
        <v>-1500000</v>
      </c>
      <c r="N25" s="37">
        <f>M25</f>
        <v>-1500000</v>
      </c>
    </row>
    <row r="26" spans="2:14" x14ac:dyDescent="0.3">
      <c r="C26" s="22">
        <f>F18</f>
        <v>5967.0927194406977</v>
      </c>
      <c r="D26" s="22">
        <f>D25+C26</f>
        <v>45064.020941846655</v>
      </c>
      <c r="E26" s="22">
        <f>F5</f>
        <v>-500000</v>
      </c>
      <c r="F26" s="37">
        <f>F25+E26</f>
        <v>-2600000</v>
      </c>
      <c r="J26" s="18">
        <v>2</v>
      </c>
      <c r="K26" s="22">
        <f>M18</f>
        <v>16741.552340552094</v>
      </c>
      <c r="L26" s="22">
        <f>L25+K26</f>
        <v>44311.502595596365</v>
      </c>
      <c r="M26" s="22">
        <f>M5</f>
        <v>-500000</v>
      </c>
      <c r="N26" s="37">
        <f>N25+M26</f>
        <v>-2000000</v>
      </c>
    </row>
    <row r="27" spans="2:14" x14ac:dyDescent="0.3">
      <c r="C27" s="22">
        <f>G18</f>
        <v>-35213.012774276431</v>
      </c>
      <c r="D27" s="22">
        <f>D26+C27</f>
        <v>9851.008167570224</v>
      </c>
      <c r="E27" s="22">
        <f>G5</f>
        <v>-900000</v>
      </c>
      <c r="F27" s="37">
        <f>F26+E27</f>
        <v>-3500000</v>
      </c>
      <c r="J27" s="18">
        <v>3</v>
      </c>
      <c r="K27" s="22">
        <f>L18</f>
        <v>16357.350833320175</v>
      </c>
      <c r="L27" s="22">
        <f>L26+K27</f>
        <v>60668.85342891654</v>
      </c>
      <c r="M27" s="22">
        <f>L5</f>
        <v>-600000</v>
      </c>
      <c r="N27" s="37">
        <f>N26+M27</f>
        <v>-2600000</v>
      </c>
    </row>
    <row r="28" spans="2:14" x14ac:dyDescent="0.3">
      <c r="C28" s="22">
        <f>D18</f>
        <v>-299245.62142777839</v>
      </c>
      <c r="D28" s="22">
        <f>D27+C28</f>
        <v>-289394.61326020816</v>
      </c>
      <c r="E28" s="22">
        <f>D5</f>
        <v>-1900000</v>
      </c>
      <c r="F28" s="37">
        <f>F27+E28</f>
        <v>-5400000</v>
      </c>
      <c r="J28" s="18">
        <v>4</v>
      </c>
      <c r="K28" s="22">
        <f>N18</f>
        <v>-49969.003625922487</v>
      </c>
      <c r="L28" s="22">
        <f>L27+K28</f>
        <v>10699.849802994053</v>
      </c>
      <c r="M28" s="22">
        <f>N5</f>
        <v>-900000</v>
      </c>
      <c r="N28" s="37">
        <f>N27+M28</f>
        <v>-3500000</v>
      </c>
    </row>
    <row r="29" spans="2:14" x14ac:dyDescent="0.3">
      <c r="C29" s="6"/>
      <c r="D29" s="6"/>
      <c r="E29" s="6"/>
      <c r="F29" s="64"/>
      <c r="J29" s="18">
        <v>5</v>
      </c>
      <c r="K29" s="22">
        <f>K18</f>
        <v>-299245.62142777839</v>
      </c>
      <c r="L29" s="22">
        <f>L28+K29</f>
        <v>-288545.77162478433</v>
      </c>
      <c r="M29" s="22">
        <f>K5</f>
        <v>-1900000</v>
      </c>
      <c r="N29" s="37">
        <f>N28+M29</f>
        <v>-5400000</v>
      </c>
    </row>
    <row r="30" spans="2:14" x14ac:dyDescent="0.3">
      <c r="C30" s="6"/>
      <c r="D30" s="6"/>
      <c r="E30" s="6"/>
      <c r="F30" s="64"/>
      <c r="J30" s="6"/>
      <c r="K30" s="6"/>
      <c r="L30" s="6"/>
      <c r="M30" s="6"/>
      <c r="N30" s="64"/>
    </row>
    <row r="31" spans="2:14" x14ac:dyDescent="0.3">
      <c r="J31" s="103" t="s">
        <v>67</v>
      </c>
      <c r="K31" s="103"/>
      <c r="L31" s="103"/>
      <c r="M31" s="103"/>
      <c r="N31" s="103"/>
    </row>
    <row r="32" spans="2:14" ht="15" customHeight="1" x14ac:dyDescent="0.3">
      <c r="J32" s="121" t="s">
        <v>68</v>
      </c>
      <c r="K32" s="121"/>
      <c r="L32" s="121"/>
      <c r="M32" s="121"/>
      <c r="N32" s="121"/>
    </row>
    <row r="33" spans="10:14" x14ac:dyDescent="0.3">
      <c r="J33" s="121"/>
      <c r="K33" s="121"/>
      <c r="L33" s="121"/>
      <c r="M33" s="121"/>
      <c r="N33" s="121"/>
    </row>
    <row r="34" spans="10:14" x14ac:dyDescent="0.3">
      <c r="J34" s="121"/>
      <c r="K34" s="121"/>
      <c r="L34" s="121"/>
      <c r="M34" s="121"/>
      <c r="N34" s="121"/>
    </row>
    <row r="35" spans="10:14" x14ac:dyDescent="0.3">
      <c r="J35" s="121"/>
      <c r="K35" s="121"/>
      <c r="L35" s="121"/>
      <c r="M35" s="121"/>
      <c r="N35" s="121"/>
    </row>
  </sheetData>
  <mergeCells count="5">
    <mergeCell ref="J32:N35"/>
    <mergeCell ref="J22:M22"/>
    <mergeCell ref="I2:L2"/>
    <mergeCell ref="M2:N2"/>
    <mergeCell ref="J31:N31"/>
  </mergeCells>
  <pageMargins left="0.7" right="0.7" top="0.75" bottom="0.75" header="0.3" footer="0.3"/>
  <ignoredErrors>
    <ignoredError sqref="F19 D32 E24:E28 M25:M29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Presentacion</vt:lpstr>
      <vt:lpstr>Ej_A</vt:lpstr>
      <vt:lpstr>Ej_B</vt:lpstr>
      <vt:lpstr>Ej_C</vt:lpstr>
      <vt:lpstr>Ej_D</vt:lpstr>
      <vt:lpstr>Ej_E</vt:lpstr>
      <vt:lpstr>Ej_F</vt:lpstr>
      <vt:lpstr>Ej_G</vt:lpstr>
      <vt:lpstr>Ej_H</vt:lpstr>
      <vt:lpstr>Ej_I</vt:lpstr>
      <vt:lpstr>Ej_PI</vt:lpstr>
      <vt:lpstr>Ej_Amber_A</vt:lpstr>
      <vt:lpstr>Ej_Amber_B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</dc:creator>
  <cp:lastModifiedBy>Fredy Saanchez</cp:lastModifiedBy>
  <dcterms:created xsi:type="dcterms:W3CDTF">2016-01-07T01:11:08Z</dcterms:created>
  <dcterms:modified xsi:type="dcterms:W3CDTF">2016-01-11T18:28:21Z</dcterms:modified>
</cp:coreProperties>
</file>