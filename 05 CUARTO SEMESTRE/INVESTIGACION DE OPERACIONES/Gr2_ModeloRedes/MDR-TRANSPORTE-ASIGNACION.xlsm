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NVESTIGACION DE OPERACIONES\Gr2_ModeloRedes\"/>
    </mc:Choice>
  </mc:AlternateContent>
  <bookViews>
    <workbookView showSheetTabs="0" xWindow="0" yWindow="0" windowWidth="11085" windowHeight="4020"/>
  </bookViews>
  <sheets>
    <sheet name="Inicio" sheetId="2" r:id="rId1"/>
    <sheet name="Modelo de redes 1" sheetId="3" r:id="rId2"/>
    <sheet name="Modelo de redes 2" sheetId="1" r:id="rId3"/>
  </sheets>
  <definedNames>
    <definedName name="solver_adj" localSheetId="2" hidden="1">'Modelo de redes 2'!$C$19:$S$19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'Modelo de redes 2'!$T$10</definedName>
    <definedName name="solver_lhs2" localSheetId="2" hidden="1">'Modelo de redes 2'!$T$11</definedName>
    <definedName name="solver_lhs3" localSheetId="2" hidden="1">'Modelo de redes 2'!$T$12</definedName>
    <definedName name="solver_lhs4" localSheetId="2" hidden="1">'Modelo de redes 2'!$T$13</definedName>
    <definedName name="solver_lhs5" localSheetId="2" hidden="1">'Modelo de redes 2'!$T$14</definedName>
    <definedName name="solver_lhs6" localSheetId="2" hidden="1">'Modelo de redes 2'!$T$15</definedName>
    <definedName name="solver_lhs7" localSheetId="2" hidden="1">'Modelo de redes 2'!$T$7</definedName>
    <definedName name="solver_lhs8" localSheetId="2" hidden="1">'Modelo de redes 2'!$T$8</definedName>
    <definedName name="solver_lhs9" localSheetId="2" hidden="1">'Modelo de redes 2'!$T$9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9</definedName>
    <definedName name="solver_nwt" localSheetId="2" hidden="1">1</definedName>
    <definedName name="solver_opt" localSheetId="2" hidden="1">'Modelo de redes 2'!$T$6</definedName>
    <definedName name="solver_pre" localSheetId="2" hidden="1">0.000001</definedName>
    <definedName name="solver_rbv" localSheetId="2" hidden="1">2</definedName>
    <definedName name="solver_rel1" localSheetId="2" hidden="1">2</definedName>
    <definedName name="solver_rel2" localSheetId="2" hidden="1">2</definedName>
    <definedName name="solver_rel3" localSheetId="2" hidden="1">2</definedName>
    <definedName name="solver_rel4" localSheetId="2" hidden="1">2</definedName>
    <definedName name="solver_rel5" localSheetId="2" hidden="1">2</definedName>
    <definedName name="solver_rel6" localSheetId="2" hidden="1">2</definedName>
    <definedName name="solver_rel7" localSheetId="2" hidden="1">1</definedName>
    <definedName name="solver_rel8" localSheetId="2" hidden="1">1</definedName>
    <definedName name="solver_rel9" localSheetId="2" hidden="1">1</definedName>
    <definedName name="solver_rhs1" localSheetId="2" hidden="1">'Modelo de redes 2'!$V$10</definedName>
    <definedName name="solver_rhs2" localSheetId="2" hidden="1">'Modelo de redes 2'!$V$11</definedName>
    <definedName name="solver_rhs3" localSheetId="2" hidden="1">'Modelo de redes 2'!$V$12</definedName>
    <definedName name="solver_rhs4" localSheetId="2" hidden="1">'Modelo de redes 2'!$V$13</definedName>
    <definedName name="solver_rhs5" localSheetId="2" hidden="1">'Modelo de redes 2'!$V$14</definedName>
    <definedName name="solver_rhs6" localSheetId="2" hidden="1">'Modelo de redes 2'!$V$15</definedName>
    <definedName name="solver_rhs7" localSheetId="2" hidden="1">'Modelo de redes 2'!$V$7</definedName>
    <definedName name="solver_rhs8" localSheetId="2" hidden="1">'Modelo de redes 2'!$V$8</definedName>
    <definedName name="solver_rhs9" localSheetId="2" hidden="1">'Modelo de redes 2'!$V$9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9" i="3" l="1"/>
  <c r="Q15" i="3"/>
  <c r="Q14" i="3"/>
  <c r="Q13" i="3"/>
  <c r="Q12" i="3"/>
  <c r="Q11" i="3"/>
  <c r="Q10" i="3"/>
  <c r="Q9" i="3"/>
  <c r="Q8" i="3"/>
  <c r="Q7" i="3"/>
  <c r="Q6" i="3"/>
  <c r="AG11" i="1" l="1"/>
  <c r="AC11" i="1"/>
  <c r="AD13" i="1" s="1"/>
  <c r="T7" i="1" l="1"/>
  <c r="T8" i="1"/>
  <c r="T9" i="1"/>
  <c r="T10" i="1"/>
  <c r="T11" i="1"/>
  <c r="T12" i="1"/>
  <c r="T13" i="1"/>
  <c r="T14" i="1"/>
  <c r="T15" i="1"/>
  <c r="T6" i="1"/>
  <c r="T19" i="1"/>
</calcChain>
</file>

<file path=xl/sharedStrings.xml><?xml version="1.0" encoding="utf-8"?>
<sst xmlns="http://schemas.openxmlformats.org/spreadsheetml/2006/main" count="153" uniqueCount="91">
  <si>
    <t>Datos del problema</t>
  </si>
  <si>
    <t>X14</t>
  </si>
  <si>
    <t>X15</t>
  </si>
  <si>
    <t>X24</t>
  </si>
  <si>
    <t>X25</t>
  </si>
  <si>
    <t>X34</t>
  </si>
  <si>
    <t>Total</t>
  </si>
  <si>
    <t>Objetivo z</t>
  </si>
  <si>
    <t>Limites</t>
  </si>
  <si>
    <t>Restriccion 1</t>
  </si>
  <si>
    <t>&lt;=</t>
  </si>
  <si>
    <t>Restriccion 2</t>
  </si>
  <si>
    <t>Restriccion 3</t>
  </si>
  <si>
    <t>Restriccion 4</t>
  </si>
  <si>
    <t>=</t>
  </si>
  <si>
    <t>Restriccion 5</t>
  </si>
  <si>
    <t>Restriccion 6</t>
  </si>
  <si>
    <t>Restriccion 7</t>
  </si>
  <si>
    <t>Solucion</t>
  </si>
  <si>
    <t>z</t>
  </si>
  <si>
    <t>X35</t>
  </si>
  <si>
    <t>X39</t>
  </si>
  <si>
    <t>X46</t>
  </si>
  <si>
    <t>X47</t>
  </si>
  <si>
    <t>X49</t>
  </si>
  <si>
    <t>X48</t>
  </si>
  <si>
    <t>X56</t>
  </si>
  <si>
    <t>X57</t>
  </si>
  <si>
    <t>X58</t>
  </si>
  <si>
    <t>X59</t>
  </si>
  <si>
    <t>X45</t>
  </si>
  <si>
    <t>X54</t>
  </si>
  <si>
    <t>Restriccion 8</t>
  </si>
  <si>
    <t>Restriccion 9</t>
  </si>
  <si>
    <t>Oferta planta 1.</t>
  </si>
  <si>
    <t>Oferta planta 2.</t>
  </si>
  <si>
    <t>Oferta planta 3.</t>
  </si>
  <si>
    <t>Almacen 1.</t>
  </si>
  <si>
    <t>Almacen 2.</t>
  </si>
  <si>
    <t>Demanda cliente 1.</t>
  </si>
  <si>
    <t>Demanda cliente 4.</t>
  </si>
  <si>
    <t>Demanda cliente 2.</t>
  </si>
  <si>
    <t>Demanda cliente 3.</t>
  </si>
  <si>
    <t xml:space="preserve">Supongamos que se permiten los traslados entre los dos almacenes en $ 2 por unidad 
y que los envíos directos se pueden hacer de la planta 3 a 4 clientes a un costo de $ 7 por unidad. </t>
  </si>
  <si>
    <t>Resuelva el programa lineal para determinar el plan óptimo de envío.</t>
  </si>
  <si>
    <t>Planta → Almacen</t>
  </si>
  <si>
    <t>Planta 1→ Almacen 1</t>
  </si>
  <si>
    <t>Planta 2→ Almacen 2</t>
  </si>
  <si>
    <t>Unidades 
Enviadas</t>
  </si>
  <si>
    <t>Costo por 
Unidad</t>
  </si>
  <si>
    <t>Costo 
Total</t>
  </si>
  <si>
    <t>Costo
Total</t>
  </si>
  <si>
    <t>Almacen 1→Cliente 2</t>
  </si>
  <si>
    <t>Almacen 1→Cliente 4</t>
  </si>
  <si>
    <t>Almacen 2→Cliente 1</t>
  </si>
  <si>
    <t>Almacen 2→Cliente 3</t>
  </si>
  <si>
    <t>Almacen → Cliente</t>
  </si>
  <si>
    <t>Total:</t>
  </si>
  <si>
    <t xml:space="preserve">COSTO TOTAL: </t>
  </si>
  <si>
    <t>RESULTADOS</t>
  </si>
  <si>
    <t>CONCLUSION</t>
  </si>
  <si>
    <t>El valor de la solución aquí es $ 630 menos que el valor de la solución para el anterior.
 La nueva ruta de navegación de la planta 3 a 4 clientes ha ayudado. No hay exceso de capacidad de 130 unidades en la planta 1</t>
  </si>
  <si>
    <t xml:space="preserve"> Planta 3 → Cliente 4</t>
  </si>
  <si>
    <t>DATOS DEL PROBLEMA</t>
  </si>
  <si>
    <t>x14</t>
  </si>
  <si>
    <t>x15</t>
  </si>
  <si>
    <t>x24</t>
  </si>
  <si>
    <t>x25</t>
  </si>
  <si>
    <t>x34</t>
  </si>
  <si>
    <t>x35</t>
  </si>
  <si>
    <t>x46</t>
  </si>
  <si>
    <t>x47</t>
  </si>
  <si>
    <t>x48</t>
  </si>
  <si>
    <t>x49</t>
  </si>
  <si>
    <t>x56</t>
  </si>
  <si>
    <t>x57</t>
  </si>
  <si>
    <t>x58</t>
  </si>
  <si>
    <t>x59</t>
  </si>
  <si>
    <t>TOTAL</t>
  </si>
  <si>
    <t>Límites</t>
  </si>
  <si>
    <t>SOLUCIÓN</t>
  </si>
  <si>
    <t>Solución</t>
  </si>
  <si>
    <t>Restricción 1</t>
  </si>
  <si>
    <t>Restricción 2</t>
  </si>
  <si>
    <t>Restricción 3</t>
  </si>
  <si>
    <t>Restricción 4</t>
  </si>
  <si>
    <t>Restricción 5</t>
  </si>
  <si>
    <t>Restricción 6</t>
  </si>
  <si>
    <t>Restricción 7</t>
  </si>
  <si>
    <t>Restricción 8</t>
  </si>
  <si>
    <t>Restricción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</si>
</sst>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300A]* #,##0_ ;_ [$$-300A]* \-#,##0_ ;_ [$$-300A]* &quot;-&quot;_ ;_ @_ "/>
  </numFmts>
  <fonts count="22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1"/>
      <color rgb="FF000000"/>
      <name val="Century Gothic"/>
      <family val="2"/>
    </font>
    <font>
      <sz val="11"/>
      <color theme="1"/>
      <name val="Century Gothic"/>
      <family val="2"/>
    </font>
    <font>
      <b/>
      <sz val="11"/>
      <color theme="7" tint="-0.249977111117893"/>
      <name val="Gill Sans MT"/>
      <family val="2"/>
      <scheme val="minor"/>
    </font>
    <font>
      <b/>
      <sz val="10"/>
      <color theme="7" tint="-0.249977111117893"/>
      <name val="Gill Sans MT"/>
      <family val="2"/>
      <scheme val="minor"/>
    </font>
    <font>
      <b/>
      <sz val="11"/>
      <color theme="8" tint="-0.249977111117893"/>
      <name val="Gill Sans MT"/>
      <family val="2"/>
      <scheme val="minor"/>
    </font>
    <font>
      <b/>
      <u/>
      <sz val="11"/>
      <color theme="8" tint="-0.249977111117893"/>
      <name val="Gill Sans MT"/>
      <family val="2"/>
      <scheme val="minor"/>
    </font>
    <font>
      <sz val="14"/>
      <color theme="6" tint="-0.499984740745262"/>
      <name val="Gill Sans MT"/>
      <family val="2"/>
      <scheme val="minor"/>
    </font>
    <font>
      <sz val="11"/>
      <color rgb="FF006100"/>
      <name val="Gill Sans MT"/>
      <family val="2"/>
      <scheme val="minor"/>
    </font>
    <font>
      <b/>
      <sz val="11"/>
      <color rgb="FFFA7D00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1"/>
      <color theme="1"/>
      <name val="Gill Sans MT"/>
      <family val="2"/>
      <scheme val="major"/>
    </font>
    <font>
      <sz val="11"/>
      <color theme="1"/>
      <name val="Gill Sans MT"/>
      <family val="2"/>
      <scheme val="major"/>
    </font>
    <font>
      <b/>
      <sz val="11"/>
      <color theme="8" tint="-0.499984740745262"/>
      <name val="Gill Sans MT"/>
      <family val="2"/>
      <scheme val="minor"/>
    </font>
    <font>
      <b/>
      <sz val="11"/>
      <color theme="7"/>
      <name val="Gill Sans MT"/>
      <family val="2"/>
      <scheme val="minor"/>
    </font>
    <font>
      <b/>
      <sz val="11"/>
      <color rgb="FF00B0F0"/>
      <name val="Gill Sans MT"/>
      <family val="2"/>
      <scheme val="minor"/>
    </font>
    <font>
      <b/>
      <u/>
      <sz val="11"/>
      <color rgb="FF00B0F0"/>
      <name val="Gill Sans MT"/>
      <family val="2"/>
      <scheme val="minor"/>
    </font>
    <font>
      <b/>
      <sz val="11"/>
      <color rgb="FF7030A0"/>
      <name val="Gill Sans MT"/>
      <family val="2"/>
      <scheme val="minor"/>
    </font>
    <font>
      <sz val="11"/>
      <color rgb="FF7030A0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theme="0" tint="-0.14996795556505021"/>
      </right>
      <top style="double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medium">
        <color auto="1"/>
      </left>
      <right style="thin">
        <color theme="0" tint="-0.14996795556505021"/>
      </right>
      <top style="medium">
        <color auto="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medium">
        <color auto="1"/>
      </bottom>
      <diagonal/>
    </border>
    <border>
      <left style="thin">
        <color theme="0" tint="-0.1499679555650502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</borders>
  <cellStyleXfs count="4">
    <xf numFmtId="0" fontId="0" fillId="0" borderId="0"/>
    <xf numFmtId="0" fontId="9" fillId="4" borderId="0" applyNumberFormat="0" applyBorder="0" applyAlignment="0" applyProtection="0"/>
    <xf numFmtId="0" fontId="10" fillId="5" borderId="15" applyNumberFormat="0" applyAlignment="0" applyProtection="0"/>
    <xf numFmtId="0" fontId="12" fillId="6" borderId="0" applyNumberFormat="0" applyBorder="0" applyAlignment="0" applyProtection="0"/>
  </cellStyleXfs>
  <cellXfs count="87">
    <xf numFmtId="0" fontId="0" fillId="0" borderId="0" xfId="0"/>
    <xf numFmtId="1" fontId="0" fillId="2" borderId="2" xfId="0" applyNumberForma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" fontId="1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/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/>
    <xf numFmtId="1" fontId="0" fillId="0" borderId="4" xfId="0" applyNumberFormat="1" applyBorder="1" applyAlignment="1">
      <alignment horizontal="center" vertical="center"/>
    </xf>
    <xf numFmtId="0" fontId="5" fillId="0" borderId="5" xfId="0" applyFont="1" applyBorder="1"/>
    <xf numFmtId="0" fontId="5" fillId="0" borderId="7" xfId="0" applyFont="1" applyBorder="1"/>
    <xf numFmtId="0" fontId="5" fillId="0" borderId="10" xfId="0" applyFont="1" applyBorder="1"/>
    <xf numFmtId="1" fontId="0" fillId="3" borderId="12" xfId="0" applyNumberFormat="1" applyFill="1" applyBorder="1" applyAlignment="1">
      <alignment horizontal="center"/>
    </xf>
    <xf numFmtId="1" fontId="0" fillId="3" borderId="13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1" fillId="6" borderId="0" xfId="3" applyFont="1" applyAlignment="1">
      <alignment horizontal="center" vertical="center"/>
    </xf>
    <xf numFmtId="0" fontId="11" fillId="6" borderId="0" xfId="3" applyFont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" fillId="0" borderId="16" xfId="0" applyFont="1" applyBorder="1" applyAlignment="1">
      <alignment vertical="center"/>
    </xf>
    <xf numFmtId="164" fontId="14" fillId="0" borderId="16" xfId="0" applyNumberFormat="1" applyFont="1" applyBorder="1" applyAlignment="1">
      <alignment vertical="center"/>
    </xf>
    <xf numFmtId="164" fontId="0" fillId="0" borderId="16" xfId="0" applyNumberFormat="1" applyBorder="1" applyAlignment="1">
      <alignment horizontal="center" vertical="center"/>
    </xf>
    <xf numFmtId="0" fontId="1" fillId="0" borderId="16" xfId="0" applyFont="1" applyBorder="1"/>
    <xf numFmtId="0" fontId="13" fillId="0" borderId="16" xfId="0" applyFont="1" applyBorder="1" applyAlignment="1">
      <alignment horizontal="center" vertical="center"/>
    </xf>
    <xf numFmtId="0" fontId="0" fillId="0" borderId="17" xfId="0" applyBorder="1"/>
    <xf numFmtId="0" fontId="13" fillId="0" borderId="18" xfId="0" applyFont="1" applyBorder="1" applyAlignment="1">
      <alignment vertical="center"/>
    </xf>
    <xf numFmtId="164" fontId="13" fillId="0" borderId="19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9" xfId="0" applyBorder="1"/>
    <xf numFmtId="0" fontId="1" fillId="0" borderId="0" xfId="0" applyFont="1" applyAlignment="1">
      <alignment horizontal="center"/>
    </xf>
    <xf numFmtId="1" fontId="1" fillId="7" borderId="20" xfId="0" applyNumberFormat="1" applyFont="1" applyFill="1" applyBorder="1"/>
    <xf numFmtId="1" fontId="1" fillId="0" borderId="3" xfId="0" applyNumberFormat="1" applyFont="1" applyBorder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Fill="1" applyBorder="1"/>
    <xf numFmtId="1" fontId="0" fillId="7" borderId="21" xfId="0" applyNumberFormat="1" applyFont="1" applyFill="1" applyBorder="1"/>
    <xf numFmtId="1" fontId="0" fillId="7" borderId="22" xfId="0" applyNumberFormat="1" applyFont="1" applyFill="1" applyBorder="1"/>
    <xf numFmtId="0" fontId="16" fillId="0" borderId="0" xfId="0" applyFont="1" applyAlignment="1">
      <alignment horizontal="center"/>
    </xf>
    <xf numFmtId="0" fontId="17" fillId="0" borderId="0" xfId="0" applyFont="1"/>
    <xf numFmtId="0" fontId="18" fillId="0" borderId="0" xfId="0" applyFont="1"/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" fontId="1" fillId="7" borderId="23" xfId="0" applyNumberFormat="1" applyFont="1" applyFill="1" applyBorder="1"/>
    <xf numFmtId="0" fontId="19" fillId="0" borderId="21" xfId="0" applyFont="1" applyBorder="1" applyAlignment="1">
      <alignment horizontal="center"/>
    </xf>
    <xf numFmtId="0" fontId="0" fillId="0" borderId="22" xfId="0" applyFont="1" applyBorder="1"/>
    <xf numFmtId="0" fontId="0" fillId="0" borderId="3" xfId="0" applyFont="1" applyBorder="1"/>
    <xf numFmtId="0" fontId="20" fillId="0" borderId="0" xfId="0" applyFont="1"/>
    <xf numFmtId="0" fontId="20" fillId="0" borderId="0" xfId="0" applyFont="1" applyBorder="1"/>
    <xf numFmtId="0" fontId="20" fillId="0" borderId="0" xfId="0" applyFont="1" applyFill="1" applyBorder="1"/>
    <xf numFmtId="0" fontId="21" fillId="0" borderId="0" xfId="0" applyFont="1"/>
    <xf numFmtId="0" fontId="8" fillId="0" borderId="0" xfId="0" applyFont="1" applyAlignment="1">
      <alignment horizontal="left" vertical="center" wrapText="1"/>
    </xf>
    <xf numFmtId="0" fontId="12" fillId="6" borderId="0" xfId="3" applyAlignment="1">
      <alignment horizontal="center"/>
    </xf>
    <xf numFmtId="0" fontId="9" fillId="4" borderId="0" xfId="1" applyAlignment="1">
      <alignment horizontal="center"/>
    </xf>
    <xf numFmtId="0" fontId="15" fillId="5" borderId="15" xfId="2" applyFont="1" applyAlignment="1">
      <alignment horizontal="center" vertical="center" wrapText="1"/>
    </xf>
    <xf numFmtId="0" fontId="15" fillId="5" borderId="15" xfId="2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9" fillId="4" borderId="0" xfId="1" applyAlignment="1">
      <alignment horizontal="right"/>
    </xf>
    <xf numFmtId="164" fontId="12" fillId="6" borderId="0" xfId="3" applyNumberFormat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9" fillId="0" borderId="24" xfId="0" applyFont="1" applyBorder="1" applyAlignment="1">
      <alignment horizontal="center"/>
    </xf>
    <xf numFmtId="1" fontId="0" fillId="0" borderId="25" xfId="0" applyNumberFormat="1" applyFont="1" applyBorder="1"/>
    <xf numFmtId="0" fontId="0" fillId="0" borderId="25" xfId="0" applyFont="1" applyBorder="1"/>
    <xf numFmtId="0" fontId="0" fillId="0" borderId="26" xfId="0" applyFont="1" applyBorder="1"/>
    <xf numFmtId="0" fontId="19" fillId="0" borderId="7" xfId="0" applyFont="1" applyBorder="1" applyAlignment="1">
      <alignment horizontal="center"/>
    </xf>
    <xf numFmtId="1" fontId="0" fillId="0" borderId="8" xfId="0" applyNumberFormat="1" applyFont="1" applyBorder="1"/>
    <xf numFmtId="1" fontId="0" fillId="0" borderId="9" xfId="0" applyNumberFormat="1" applyFont="1" applyBorder="1"/>
    <xf numFmtId="0" fontId="0" fillId="0" borderId="8" xfId="0" applyFont="1" applyBorder="1"/>
    <xf numFmtId="0" fontId="0" fillId="0" borderId="9" xfId="0" applyFont="1" applyBorder="1"/>
    <xf numFmtId="0" fontId="19" fillId="0" borderId="10" xfId="0" applyFont="1" applyBorder="1" applyAlignment="1">
      <alignment horizontal="center"/>
    </xf>
    <xf numFmtId="1" fontId="0" fillId="0" borderId="11" xfId="0" applyNumberFormat="1" applyFont="1" applyBorder="1"/>
    <xf numFmtId="0" fontId="0" fillId="0" borderId="11" xfId="0" applyFont="1" applyBorder="1"/>
    <xf numFmtId="0" fontId="0" fillId="0" borderId="27" xfId="0" applyFont="1" applyBorder="1"/>
  </cellXfs>
  <cellStyles count="4">
    <cellStyle name="Buena" xfId="1" builtinId="26"/>
    <cellStyle name="Cálculo" xfId="2" builtinId="22"/>
    <cellStyle name="Énfasis1" xfId="3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Modelo de redes 2'!A1"/><Relationship Id="rId1" Type="http://schemas.openxmlformats.org/officeDocument/2006/relationships/hyperlink" Target="#'Modelo de redes 1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0</xdr:col>
          <xdr:colOff>304800</xdr:colOff>
          <xdr:row>0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entury Gothic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0</xdr:col>
          <xdr:colOff>304800</xdr:colOff>
          <xdr:row>1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entury Gothic"/>
                </a:rPr>
                <a:t>-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515592</xdr:colOff>
      <xdr:row>1</xdr:row>
      <xdr:rowOff>49281</xdr:rowOff>
    </xdr:from>
    <xdr:to>
      <xdr:col>11</xdr:col>
      <xdr:colOff>744193</xdr:colOff>
      <xdr:row>3</xdr:row>
      <xdr:rowOff>45930</xdr:rowOff>
    </xdr:to>
    <xdr:sp macro="" textlink="">
      <xdr:nvSpPr>
        <xdr:cNvPr id="4" name="Rectángulo 3"/>
        <xdr:cNvSpPr/>
      </xdr:nvSpPr>
      <xdr:spPr>
        <a:xfrm>
          <a:off x="1352135" y="264629"/>
          <a:ext cx="8594036" cy="42734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1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MODELO DE REDES</a:t>
          </a:r>
          <a:r>
            <a:rPr lang="es-ES" sz="2400" b="1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 : TRANSPORTE ASIGNACION</a:t>
          </a:r>
          <a:endParaRPr lang="es-ES" sz="2400" b="1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Copperplate Gothic Bold" panose="020E0705020206020404" pitchFamily="34" charset="0"/>
          </a:endParaRPr>
        </a:p>
      </xdr:txBody>
    </xdr:sp>
    <xdr:clientData/>
  </xdr:twoCellAnchor>
  <xdr:twoCellAnchor>
    <xdr:from>
      <xdr:col>3</xdr:col>
      <xdr:colOff>9525</xdr:colOff>
      <xdr:row>5</xdr:row>
      <xdr:rowOff>28575</xdr:rowOff>
    </xdr:from>
    <xdr:to>
      <xdr:col>3</xdr:col>
      <xdr:colOff>647700</xdr:colOff>
      <xdr:row>5</xdr:row>
      <xdr:rowOff>209550</xdr:rowOff>
    </xdr:to>
    <xdr:sp macro="" textlink="">
      <xdr:nvSpPr>
        <xdr:cNvPr id="2" name="Flecha derecha 1">
          <a:hlinkClick xmlns:r="http://schemas.openxmlformats.org/officeDocument/2006/relationships" r:id="rId1"/>
        </xdr:cNvPr>
        <xdr:cNvSpPr/>
      </xdr:nvSpPr>
      <xdr:spPr>
        <a:xfrm>
          <a:off x="2524125" y="1123950"/>
          <a:ext cx="638175" cy="180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2484</xdr:colOff>
      <xdr:row>8</xdr:row>
      <xdr:rowOff>313911</xdr:rowOff>
    </xdr:from>
    <xdr:to>
      <xdr:col>3</xdr:col>
      <xdr:colOff>640659</xdr:colOff>
      <xdr:row>8</xdr:row>
      <xdr:rowOff>513522</xdr:rowOff>
    </xdr:to>
    <xdr:sp macro="" textlink="">
      <xdr:nvSpPr>
        <xdr:cNvPr id="6" name="Flecha derecha 5">
          <a:hlinkClick xmlns:r="http://schemas.openxmlformats.org/officeDocument/2006/relationships" r:id="rId2"/>
        </xdr:cNvPr>
        <xdr:cNvSpPr/>
      </xdr:nvSpPr>
      <xdr:spPr>
        <a:xfrm>
          <a:off x="2512114" y="2094672"/>
          <a:ext cx="638175" cy="19961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0</xdr:col>
      <xdr:colOff>266700</xdr:colOff>
      <xdr:row>0</xdr:row>
      <xdr:rowOff>200025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57150" y="28575"/>
          <a:ext cx="209550" cy="171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752475</xdr:colOff>
      <xdr:row>0</xdr:row>
      <xdr:rowOff>38100</xdr:rowOff>
    </xdr:from>
    <xdr:to>
      <xdr:col>15</xdr:col>
      <xdr:colOff>142876</xdr:colOff>
      <xdr:row>2</xdr:row>
      <xdr:rowOff>34749</xdr:rowOff>
    </xdr:to>
    <xdr:sp macro="" textlink="">
      <xdr:nvSpPr>
        <xdr:cNvPr id="3" name="Rectángulo 2"/>
        <xdr:cNvSpPr/>
      </xdr:nvSpPr>
      <xdr:spPr>
        <a:xfrm>
          <a:off x="3267075" y="38100"/>
          <a:ext cx="9448801" cy="43479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1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MODELO DE REDES</a:t>
          </a:r>
          <a:r>
            <a:rPr lang="es-ES" sz="2400" b="1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 : TRANSPORTE ASIGNACION</a:t>
          </a:r>
          <a:endParaRPr lang="es-ES" sz="2400" b="1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Copperplate Gothic Bold" panose="020E0705020206020404" pitchFamily="34" charset="0"/>
          </a:endParaRPr>
        </a:p>
      </xdr:txBody>
    </xdr:sp>
    <xdr:clientData/>
  </xdr:twoCellAnchor>
  <xdr:twoCellAnchor>
    <xdr:from>
      <xdr:col>1</xdr:col>
      <xdr:colOff>0</xdr:colOff>
      <xdr:row>5</xdr:row>
      <xdr:rowOff>219075</xdr:rowOff>
    </xdr:from>
    <xdr:to>
      <xdr:col>1</xdr:col>
      <xdr:colOff>0</xdr:colOff>
      <xdr:row>15</xdr:row>
      <xdr:rowOff>19050</xdr:rowOff>
    </xdr:to>
    <xdr:cxnSp macro="">
      <xdr:nvCxnSpPr>
        <xdr:cNvPr id="5" name="Conector recto 4"/>
        <xdr:cNvCxnSpPr/>
      </xdr:nvCxnSpPr>
      <xdr:spPr>
        <a:xfrm>
          <a:off x="838200" y="1323975"/>
          <a:ext cx="0" cy="208597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133349</xdr:colOff>
      <xdr:row>0</xdr:row>
      <xdr:rowOff>114299</xdr:rowOff>
    </xdr:from>
    <xdr:to>
      <xdr:col>22</xdr:col>
      <xdr:colOff>76200</xdr:colOff>
      <xdr:row>2</xdr:row>
      <xdr:rowOff>110948</xdr:rowOff>
    </xdr:to>
    <xdr:sp macro="" textlink="">
      <xdr:nvSpPr>
        <xdr:cNvPr id="4" name="Rectángulo 3"/>
        <xdr:cNvSpPr/>
      </xdr:nvSpPr>
      <xdr:spPr>
        <a:xfrm>
          <a:off x="1914524" y="114299"/>
          <a:ext cx="9448801" cy="43479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1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MODELO DE REDES</a:t>
          </a:r>
          <a:r>
            <a:rPr lang="es-ES" sz="2400" b="1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 : TRANSPORTE ASIGNACION</a:t>
          </a:r>
          <a:endParaRPr lang="es-ES" sz="2400" b="1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Copperplate Gothic Bold" panose="020E0705020206020404" pitchFamily="34" charset="0"/>
          </a:endParaRPr>
        </a:p>
      </xdr:txBody>
    </xdr:sp>
    <xdr:clientData/>
  </xdr:twoCellAnchor>
  <xdr:twoCellAnchor>
    <xdr:from>
      <xdr:col>0</xdr:col>
      <xdr:colOff>76199</xdr:colOff>
      <xdr:row>0</xdr:row>
      <xdr:rowOff>38099</xdr:rowOff>
    </xdr:from>
    <xdr:to>
      <xdr:col>0</xdr:col>
      <xdr:colOff>285749</xdr:colOff>
      <xdr:row>0</xdr:row>
      <xdr:rowOff>209549</xdr:rowOff>
    </xdr:to>
    <xdr:sp macro="" textlink="">
      <xdr:nvSpPr>
        <xdr:cNvPr id="5" name="Flecha izquierda 4">
          <a:hlinkClick xmlns:r="http://schemas.openxmlformats.org/officeDocument/2006/relationships" r:id="rId1"/>
        </xdr:cNvPr>
        <xdr:cNvSpPr/>
      </xdr:nvSpPr>
      <xdr:spPr>
        <a:xfrm>
          <a:off x="76199" y="38099"/>
          <a:ext cx="209550" cy="171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Dividendo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E6:L9"/>
  <sheetViews>
    <sheetView showGridLines="0" showRowColHeaders="0" tabSelected="1" zoomScale="115" zoomScaleNormal="115" workbookViewId="0"/>
  </sheetViews>
  <sheetFormatPr baseColWidth="10" defaultRowHeight="17.25" x14ac:dyDescent="0.35"/>
  <cols>
    <col min="1" max="1" width="4" customWidth="1"/>
  </cols>
  <sheetData>
    <row r="6" spans="5:12" ht="21.75" x14ac:dyDescent="0.45">
      <c r="E6" s="24" t="s">
        <v>44</v>
      </c>
    </row>
    <row r="9" spans="5:12" ht="62.25" customHeight="1" x14ac:dyDescent="0.35">
      <c r="E9" s="64" t="s">
        <v>43</v>
      </c>
      <c r="F9" s="64"/>
      <c r="G9" s="64"/>
      <c r="H9" s="64"/>
      <c r="I9" s="64"/>
      <c r="J9" s="64"/>
      <c r="K9" s="64"/>
      <c r="L9" s="64"/>
    </row>
  </sheetData>
  <mergeCells count="1">
    <mergeCell ref="E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oja1.Hide">
                <anchor moveWithCells="1" siz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0</xdr:col>
                    <xdr:colOff>304800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Hoja1.Unhide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0</xdr:col>
                    <xdr:colOff>304800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T19"/>
  <sheetViews>
    <sheetView showGridLines="0" showRowColHeaders="0" workbookViewId="0">
      <selection activeCell="P4" sqref="P4"/>
    </sheetView>
  </sheetViews>
  <sheetFormatPr baseColWidth="10" defaultRowHeight="17.25" x14ac:dyDescent="0.35"/>
  <cols>
    <col min="2" max="2" width="11.625" customWidth="1"/>
    <col min="3" max="16" width="7.625" customWidth="1"/>
    <col min="17" max="17" width="9.625" customWidth="1"/>
    <col min="18" max="19" width="5.625" customWidth="1"/>
  </cols>
  <sheetData>
    <row r="4" spans="2:20" x14ac:dyDescent="0.35">
      <c r="B4" s="53" t="s">
        <v>63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</row>
    <row r="5" spans="2:20" ht="18" thickBot="1" x14ac:dyDescent="0.4">
      <c r="B5" s="46"/>
      <c r="C5" s="51" t="s">
        <v>64</v>
      </c>
      <c r="D5" s="51" t="s">
        <v>65</v>
      </c>
      <c r="E5" s="51" t="s">
        <v>66</v>
      </c>
      <c r="F5" s="51" t="s">
        <v>67</v>
      </c>
      <c r="G5" s="51" t="s">
        <v>68</v>
      </c>
      <c r="H5" s="51" t="s">
        <v>69</v>
      </c>
      <c r="I5" s="51" t="s">
        <v>70</v>
      </c>
      <c r="J5" s="51" t="s">
        <v>71</v>
      </c>
      <c r="K5" s="51" t="s">
        <v>72</v>
      </c>
      <c r="L5" s="51" t="s">
        <v>73</v>
      </c>
      <c r="M5" s="51" t="s">
        <v>74</v>
      </c>
      <c r="N5" s="51" t="s">
        <v>75</v>
      </c>
      <c r="O5" s="51" t="s">
        <v>76</v>
      </c>
      <c r="P5" s="51" t="s">
        <v>77</v>
      </c>
      <c r="Q5" s="51" t="s">
        <v>78</v>
      </c>
      <c r="R5" s="46"/>
      <c r="S5" s="46"/>
    </row>
    <row r="6" spans="2:20" ht="18" thickBot="1" x14ac:dyDescent="0.4">
      <c r="B6" s="57" t="s">
        <v>7</v>
      </c>
      <c r="C6" s="58">
        <v>4</v>
      </c>
      <c r="D6" s="58">
        <v>7</v>
      </c>
      <c r="E6" s="58">
        <v>8</v>
      </c>
      <c r="F6" s="58">
        <v>5</v>
      </c>
      <c r="G6" s="58">
        <v>5</v>
      </c>
      <c r="H6" s="58">
        <v>6</v>
      </c>
      <c r="I6" s="58">
        <v>6</v>
      </c>
      <c r="J6" s="58">
        <v>4</v>
      </c>
      <c r="K6" s="58">
        <v>8</v>
      </c>
      <c r="L6" s="58">
        <v>4</v>
      </c>
      <c r="M6" s="58">
        <v>3</v>
      </c>
      <c r="N6" s="58">
        <v>6</v>
      </c>
      <c r="O6" s="58">
        <v>7</v>
      </c>
      <c r="P6" s="59">
        <v>7</v>
      </c>
      <c r="Q6" s="44">
        <f t="shared" ref="Q6:Q15" si="0">C6*$C$19+D6*$D$19+E6*$E$19+F6*$F$19+G6*$G$19+H6*$H$19+I6*$I$19+J6*$J$19+K6*$K$19+L6*$L$19+M6*$M$19+N6*$N$19+O6*$O$19+P6*$P$19</f>
        <v>11850</v>
      </c>
      <c r="S6" s="55" t="s">
        <v>79</v>
      </c>
    </row>
    <row r="7" spans="2:20" ht="18" thickBot="1" x14ac:dyDescent="0.4">
      <c r="B7" s="74" t="s">
        <v>82</v>
      </c>
      <c r="C7" s="75">
        <v>1</v>
      </c>
      <c r="D7" s="76">
        <v>1</v>
      </c>
      <c r="E7" s="76">
        <v>0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7">
        <v>0</v>
      </c>
      <c r="Q7" s="56">
        <f t="shared" si="0"/>
        <v>450</v>
      </c>
      <c r="R7" s="54" t="s">
        <v>10</v>
      </c>
      <c r="S7" s="60">
        <v>450</v>
      </c>
      <c r="T7" s="8" t="s">
        <v>34</v>
      </c>
    </row>
    <row r="8" spans="2:20" ht="18" thickBot="1" x14ac:dyDescent="0.4">
      <c r="B8" s="78" t="s">
        <v>83</v>
      </c>
      <c r="C8" s="79">
        <v>0</v>
      </c>
      <c r="D8" s="79">
        <v>0</v>
      </c>
      <c r="E8" s="79">
        <v>1</v>
      </c>
      <c r="F8" s="79">
        <v>1</v>
      </c>
      <c r="G8" s="79">
        <v>0</v>
      </c>
      <c r="H8" s="79">
        <v>0</v>
      </c>
      <c r="I8" s="79">
        <v>0</v>
      </c>
      <c r="J8" s="79">
        <v>0</v>
      </c>
      <c r="K8" s="79">
        <v>0</v>
      </c>
      <c r="L8" s="79">
        <v>0</v>
      </c>
      <c r="M8" s="79">
        <v>0</v>
      </c>
      <c r="N8" s="79">
        <v>0</v>
      </c>
      <c r="O8" s="79">
        <v>0</v>
      </c>
      <c r="P8" s="80">
        <v>0</v>
      </c>
      <c r="Q8" s="44">
        <f t="shared" si="0"/>
        <v>600</v>
      </c>
      <c r="R8" s="54" t="s">
        <v>10</v>
      </c>
      <c r="S8" s="60">
        <v>600</v>
      </c>
      <c r="T8" s="8" t="s">
        <v>35</v>
      </c>
    </row>
    <row r="9" spans="2:20" ht="18" thickBot="1" x14ac:dyDescent="0.4">
      <c r="B9" s="78" t="s">
        <v>84</v>
      </c>
      <c r="C9" s="79">
        <v>0</v>
      </c>
      <c r="D9" s="79">
        <v>0</v>
      </c>
      <c r="E9" s="79">
        <v>0</v>
      </c>
      <c r="F9" s="79">
        <v>0</v>
      </c>
      <c r="G9" s="81">
        <v>1</v>
      </c>
      <c r="H9" s="81">
        <v>1</v>
      </c>
      <c r="I9" s="79">
        <v>0</v>
      </c>
      <c r="J9" s="79">
        <v>0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80">
        <v>0</v>
      </c>
      <c r="Q9" s="44">
        <f t="shared" si="0"/>
        <v>250</v>
      </c>
      <c r="R9" s="54" t="s">
        <v>10</v>
      </c>
      <c r="S9" s="61">
        <v>380</v>
      </c>
      <c r="T9" s="8" t="s">
        <v>36</v>
      </c>
    </row>
    <row r="10" spans="2:20" ht="18" thickBot="1" x14ac:dyDescent="0.4">
      <c r="B10" s="78" t="s">
        <v>85</v>
      </c>
      <c r="C10" s="81">
        <v>-1</v>
      </c>
      <c r="D10" s="79">
        <v>0</v>
      </c>
      <c r="E10" s="81">
        <v>-1</v>
      </c>
      <c r="F10" s="79">
        <v>0</v>
      </c>
      <c r="G10" s="81">
        <v>-1</v>
      </c>
      <c r="H10" s="79">
        <v>0</v>
      </c>
      <c r="I10" s="81">
        <v>1</v>
      </c>
      <c r="J10" s="81">
        <v>1</v>
      </c>
      <c r="K10" s="81">
        <v>1</v>
      </c>
      <c r="L10" s="81">
        <v>1</v>
      </c>
      <c r="M10" s="79">
        <v>0</v>
      </c>
      <c r="N10" s="79">
        <v>0</v>
      </c>
      <c r="O10" s="79">
        <v>0</v>
      </c>
      <c r="P10" s="80">
        <v>0</v>
      </c>
      <c r="Q10" s="44">
        <f t="shared" si="0"/>
        <v>0</v>
      </c>
      <c r="R10" s="54" t="s">
        <v>14</v>
      </c>
      <c r="S10" s="62">
        <v>0</v>
      </c>
      <c r="T10" s="8" t="s">
        <v>37</v>
      </c>
    </row>
    <row r="11" spans="2:20" ht="18" thickBot="1" x14ac:dyDescent="0.4">
      <c r="B11" s="78" t="s">
        <v>86</v>
      </c>
      <c r="C11" s="79">
        <v>0</v>
      </c>
      <c r="D11" s="81">
        <v>-1</v>
      </c>
      <c r="E11" s="79">
        <v>0</v>
      </c>
      <c r="F11" s="81">
        <v>-1</v>
      </c>
      <c r="G11" s="79">
        <v>0</v>
      </c>
      <c r="H11" s="81">
        <v>-1</v>
      </c>
      <c r="I11" s="79">
        <v>0</v>
      </c>
      <c r="J11" s="79">
        <v>0</v>
      </c>
      <c r="K11" s="79">
        <v>0</v>
      </c>
      <c r="L11" s="79">
        <v>0</v>
      </c>
      <c r="M11" s="81">
        <v>1</v>
      </c>
      <c r="N11" s="81">
        <v>1</v>
      </c>
      <c r="O11" s="81">
        <v>1</v>
      </c>
      <c r="P11" s="82">
        <v>1</v>
      </c>
      <c r="Q11" s="44">
        <f t="shared" si="0"/>
        <v>0</v>
      </c>
      <c r="R11" s="54" t="s">
        <v>14</v>
      </c>
      <c r="S11" s="62">
        <v>0</v>
      </c>
      <c r="T11" s="8" t="s">
        <v>38</v>
      </c>
    </row>
    <row r="12" spans="2:20" ht="18" thickBot="1" x14ac:dyDescent="0.4">
      <c r="B12" s="78" t="s">
        <v>87</v>
      </c>
      <c r="C12" s="79">
        <v>0</v>
      </c>
      <c r="D12" s="79">
        <v>0</v>
      </c>
      <c r="E12" s="79">
        <v>0</v>
      </c>
      <c r="F12" s="79">
        <v>0</v>
      </c>
      <c r="G12" s="79">
        <v>0</v>
      </c>
      <c r="H12" s="79">
        <v>0</v>
      </c>
      <c r="I12" s="81">
        <v>1</v>
      </c>
      <c r="J12" s="79">
        <v>0</v>
      </c>
      <c r="K12" s="79">
        <v>0</v>
      </c>
      <c r="L12" s="79">
        <v>0</v>
      </c>
      <c r="M12" s="81">
        <v>1</v>
      </c>
      <c r="N12" s="79">
        <v>0</v>
      </c>
      <c r="O12" s="79">
        <v>0</v>
      </c>
      <c r="P12" s="80">
        <v>0</v>
      </c>
      <c r="Q12" s="44">
        <f t="shared" si="0"/>
        <v>300</v>
      </c>
      <c r="R12" s="54" t="s">
        <v>14</v>
      </c>
      <c r="S12" s="62">
        <v>300</v>
      </c>
      <c r="T12" s="8" t="s">
        <v>39</v>
      </c>
    </row>
    <row r="13" spans="2:20" ht="18" thickBot="1" x14ac:dyDescent="0.4">
      <c r="B13" s="78" t="s">
        <v>88</v>
      </c>
      <c r="C13" s="79">
        <v>0</v>
      </c>
      <c r="D13" s="79">
        <v>0</v>
      </c>
      <c r="E13" s="79">
        <v>0</v>
      </c>
      <c r="F13" s="79">
        <v>0</v>
      </c>
      <c r="G13" s="79">
        <v>0</v>
      </c>
      <c r="H13" s="79">
        <v>0</v>
      </c>
      <c r="I13" s="79">
        <v>0</v>
      </c>
      <c r="J13" s="81">
        <v>1</v>
      </c>
      <c r="K13" s="79">
        <v>0</v>
      </c>
      <c r="L13" s="79">
        <v>0</v>
      </c>
      <c r="M13" s="79">
        <v>0</v>
      </c>
      <c r="N13" s="81">
        <v>1</v>
      </c>
      <c r="O13" s="79">
        <v>0</v>
      </c>
      <c r="P13" s="80">
        <v>0</v>
      </c>
      <c r="Q13" s="44">
        <f t="shared" si="0"/>
        <v>300</v>
      </c>
      <c r="R13" s="54" t="s">
        <v>14</v>
      </c>
      <c r="S13" s="62">
        <v>300</v>
      </c>
      <c r="T13" s="8" t="s">
        <v>41</v>
      </c>
    </row>
    <row r="14" spans="2:20" ht="18" thickBot="1" x14ac:dyDescent="0.4">
      <c r="B14" s="78" t="s">
        <v>89</v>
      </c>
      <c r="C14" s="79">
        <v>0</v>
      </c>
      <c r="D14" s="79">
        <v>0</v>
      </c>
      <c r="E14" s="79">
        <v>0</v>
      </c>
      <c r="F14" s="79">
        <v>0</v>
      </c>
      <c r="G14" s="79">
        <v>0</v>
      </c>
      <c r="H14" s="79">
        <v>0</v>
      </c>
      <c r="I14" s="79">
        <v>0</v>
      </c>
      <c r="J14" s="79">
        <v>0</v>
      </c>
      <c r="K14" s="81">
        <v>1</v>
      </c>
      <c r="L14" s="79">
        <v>0</v>
      </c>
      <c r="M14" s="79">
        <v>0</v>
      </c>
      <c r="N14" s="79">
        <v>0</v>
      </c>
      <c r="O14" s="81">
        <v>1</v>
      </c>
      <c r="P14" s="80">
        <v>0</v>
      </c>
      <c r="Q14" s="44">
        <f t="shared" si="0"/>
        <v>300</v>
      </c>
      <c r="R14" s="54" t="s">
        <v>14</v>
      </c>
      <c r="S14" s="62">
        <v>300</v>
      </c>
      <c r="T14" s="8" t="s">
        <v>42</v>
      </c>
    </row>
    <row r="15" spans="2:20" ht="18" thickBot="1" x14ac:dyDescent="0.4">
      <c r="B15" s="83" t="s">
        <v>90</v>
      </c>
      <c r="C15" s="84">
        <v>0</v>
      </c>
      <c r="D15" s="84">
        <v>0</v>
      </c>
      <c r="E15" s="84">
        <v>0</v>
      </c>
      <c r="F15" s="84">
        <v>0</v>
      </c>
      <c r="G15" s="84">
        <v>0</v>
      </c>
      <c r="H15" s="84">
        <v>0</v>
      </c>
      <c r="I15" s="84">
        <v>0</v>
      </c>
      <c r="J15" s="84">
        <v>0</v>
      </c>
      <c r="K15" s="84">
        <v>0</v>
      </c>
      <c r="L15" s="85">
        <v>1</v>
      </c>
      <c r="M15" s="84">
        <v>0</v>
      </c>
      <c r="N15" s="84">
        <v>0</v>
      </c>
      <c r="O15" s="84">
        <v>0</v>
      </c>
      <c r="P15" s="86">
        <v>1</v>
      </c>
      <c r="Q15" s="44">
        <f t="shared" si="0"/>
        <v>400</v>
      </c>
      <c r="R15" s="54" t="s">
        <v>14</v>
      </c>
      <c r="S15" s="62">
        <v>400</v>
      </c>
      <c r="T15" s="8" t="s">
        <v>40</v>
      </c>
    </row>
    <row r="16" spans="2:20" x14ac:dyDescent="0.35">
      <c r="B16" s="43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7"/>
      <c r="S16" s="48"/>
    </row>
    <row r="17" spans="2:19" x14ac:dyDescent="0.35">
      <c r="B17" s="55" t="s">
        <v>80</v>
      </c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</row>
    <row r="18" spans="2:19" ht="18" thickBot="1" x14ac:dyDescent="0.4">
      <c r="B18" s="46"/>
      <c r="C18" s="55" t="s">
        <v>64</v>
      </c>
      <c r="D18" s="55" t="s">
        <v>65</v>
      </c>
      <c r="E18" s="55" t="s">
        <v>66</v>
      </c>
      <c r="F18" s="55" t="s">
        <v>67</v>
      </c>
      <c r="G18" s="55" t="s">
        <v>68</v>
      </c>
      <c r="H18" s="55" t="s">
        <v>69</v>
      </c>
      <c r="I18" s="55" t="s">
        <v>70</v>
      </c>
      <c r="J18" s="55" t="s">
        <v>71</v>
      </c>
      <c r="K18" s="55" t="s">
        <v>72</v>
      </c>
      <c r="L18" s="55" t="s">
        <v>73</v>
      </c>
      <c r="M18" s="55" t="s">
        <v>74</v>
      </c>
      <c r="N18" s="55" t="s">
        <v>75</v>
      </c>
      <c r="O18" s="55" t="s">
        <v>76</v>
      </c>
      <c r="P18" s="55" t="s">
        <v>77</v>
      </c>
      <c r="Q18" s="55" t="s">
        <v>19</v>
      </c>
      <c r="R18" s="46"/>
      <c r="S18" s="46"/>
    </row>
    <row r="19" spans="2:19" ht="18" thickBot="1" x14ac:dyDescent="0.4">
      <c r="B19" s="52" t="s">
        <v>81</v>
      </c>
      <c r="C19" s="49">
        <v>450</v>
      </c>
      <c r="D19" s="50">
        <v>0</v>
      </c>
      <c r="E19" s="50">
        <v>0</v>
      </c>
      <c r="F19" s="50">
        <v>600</v>
      </c>
      <c r="G19" s="50">
        <v>250</v>
      </c>
      <c r="H19" s="50">
        <v>0</v>
      </c>
      <c r="I19" s="50">
        <v>0</v>
      </c>
      <c r="J19" s="50">
        <v>300</v>
      </c>
      <c r="K19" s="50">
        <v>0</v>
      </c>
      <c r="L19" s="50">
        <v>400</v>
      </c>
      <c r="M19" s="50">
        <v>300</v>
      </c>
      <c r="N19" s="50">
        <v>0</v>
      </c>
      <c r="O19" s="50">
        <v>300</v>
      </c>
      <c r="P19" s="50">
        <v>0</v>
      </c>
      <c r="Q19" s="45">
        <f>C6*C19+D19*D6+E19*E6+F19*F6+G19*G6+H19*H6+I19*I6+J19*J6+K19*K6+L19*L6+M19*M6+N19*N6+O19*O6+P19*P6</f>
        <v>11850</v>
      </c>
      <c r="R19" s="46"/>
      <c r="S19" s="6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AI19"/>
  <sheetViews>
    <sheetView showGridLines="0" showRowColHeaders="0" workbookViewId="0"/>
  </sheetViews>
  <sheetFormatPr baseColWidth="10" defaultRowHeight="17.25" x14ac:dyDescent="0.35"/>
  <cols>
    <col min="1" max="1" width="5.75" customWidth="1"/>
    <col min="2" max="2" width="11" customWidth="1"/>
    <col min="3" max="19" width="6.625" customWidth="1"/>
    <col min="20" max="20" width="6.875" customWidth="1"/>
    <col min="21" max="21" width="4.375" customWidth="1"/>
    <col min="22" max="22" width="7.5" customWidth="1"/>
    <col min="25" max="25" width="28.5" customWidth="1"/>
    <col min="26" max="26" width="19.125" customWidth="1"/>
    <col min="27" max="27" width="11" customWidth="1"/>
    <col min="28" max="28" width="12.625" customWidth="1"/>
    <col min="29" max="29" width="12.75" customWidth="1"/>
    <col min="30" max="30" width="20" customWidth="1"/>
    <col min="31" max="31" width="10.625" customWidth="1"/>
    <col min="32" max="32" width="10.875" customWidth="1"/>
    <col min="33" max="33" width="12" customWidth="1"/>
    <col min="34" max="34" width="17.625" customWidth="1"/>
  </cols>
  <sheetData>
    <row r="3" spans="2:35" x14ac:dyDescent="0.35">
      <c r="Z3" s="65" t="s">
        <v>59</v>
      </c>
      <c r="AA3" s="65"/>
      <c r="AB3" s="65"/>
      <c r="AC3" s="65"/>
      <c r="AD3" s="65"/>
      <c r="AE3" s="65"/>
      <c r="AF3" s="65"/>
      <c r="AG3" s="65"/>
      <c r="AI3">
        <v>0</v>
      </c>
    </row>
    <row r="4" spans="2:35" ht="22.5" customHeight="1" x14ac:dyDescent="0.35">
      <c r="B4" s="10" t="s">
        <v>0</v>
      </c>
    </row>
    <row r="5" spans="2:35" ht="35.25" thickBot="1" x14ac:dyDescent="0.4">
      <c r="C5" s="5" t="s">
        <v>1</v>
      </c>
      <c r="D5" s="5" t="s">
        <v>2</v>
      </c>
      <c r="E5" s="5" t="s">
        <v>3</v>
      </c>
      <c r="F5" s="5" t="s">
        <v>4</v>
      </c>
      <c r="G5" s="5" t="s">
        <v>5</v>
      </c>
      <c r="H5" s="5" t="s">
        <v>20</v>
      </c>
      <c r="I5" s="5" t="s">
        <v>21</v>
      </c>
      <c r="J5" s="5" t="s">
        <v>30</v>
      </c>
      <c r="K5" s="5" t="s">
        <v>22</v>
      </c>
      <c r="L5" s="5" t="s">
        <v>23</v>
      </c>
      <c r="M5" s="5" t="s">
        <v>25</v>
      </c>
      <c r="N5" s="5" t="s">
        <v>24</v>
      </c>
      <c r="O5" s="5" t="s">
        <v>31</v>
      </c>
      <c r="P5" s="5" t="s">
        <v>26</v>
      </c>
      <c r="Q5" s="5" t="s">
        <v>27</v>
      </c>
      <c r="R5" s="5" t="s">
        <v>28</v>
      </c>
      <c r="S5" s="5" t="s">
        <v>29</v>
      </c>
      <c r="T5" s="5" t="s">
        <v>6</v>
      </c>
      <c r="Z5" s="27" t="s">
        <v>45</v>
      </c>
      <c r="AA5" s="28" t="s">
        <v>48</v>
      </c>
      <c r="AB5" s="28" t="s">
        <v>49</v>
      </c>
      <c r="AC5" s="28" t="s">
        <v>50</v>
      </c>
      <c r="AD5" s="27" t="s">
        <v>56</v>
      </c>
      <c r="AE5" s="28" t="s">
        <v>48</v>
      </c>
      <c r="AF5" s="28" t="s">
        <v>49</v>
      </c>
      <c r="AG5" s="28" t="s">
        <v>51</v>
      </c>
    </row>
    <row r="6" spans="2:35" ht="18" thickBot="1" x14ac:dyDescent="0.4">
      <c r="B6" s="6" t="s">
        <v>7</v>
      </c>
      <c r="C6" s="11">
        <v>4</v>
      </c>
      <c r="D6" s="11">
        <v>7</v>
      </c>
      <c r="E6" s="11">
        <v>8</v>
      </c>
      <c r="F6" s="11">
        <v>5</v>
      </c>
      <c r="G6" s="11">
        <v>5</v>
      </c>
      <c r="H6" s="11">
        <v>6</v>
      </c>
      <c r="I6" s="11">
        <v>7</v>
      </c>
      <c r="J6" s="11">
        <v>2</v>
      </c>
      <c r="K6" s="11">
        <v>6</v>
      </c>
      <c r="L6" s="11">
        <v>4</v>
      </c>
      <c r="M6" s="11">
        <v>8</v>
      </c>
      <c r="N6" s="11">
        <v>4</v>
      </c>
      <c r="O6" s="11">
        <v>2</v>
      </c>
      <c r="P6" s="11">
        <v>3</v>
      </c>
      <c r="Q6" s="11">
        <v>6</v>
      </c>
      <c r="R6" s="11">
        <v>7</v>
      </c>
      <c r="S6" s="11">
        <v>7</v>
      </c>
      <c r="T6" s="1">
        <f>C6*$C$19+D6*$D$19+E6*$E$19+F6*$F$19+G6*$G$19+H6*$H$19+I6*$I$19+J6*$J$19+K6*$K$19+L6*$L$19+M6*$M$19+N6*$N$19+O6*$O$19+P6*$P$19+Q6*$Q$19+R6*$R$19+S6*$S$19</f>
        <v>11220</v>
      </c>
      <c r="V6" s="19" t="s">
        <v>8</v>
      </c>
      <c r="Z6" s="72" t="s">
        <v>46</v>
      </c>
      <c r="AA6" s="73">
        <v>320</v>
      </c>
      <c r="AB6" s="73">
        <v>4</v>
      </c>
      <c r="AC6" s="69">
        <v>1280</v>
      </c>
      <c r="AD6" s="29" t="s">
        <v>52</v>
      </c>
      <c r="AE6" s="30">
        <v>300</v>
      </c>
      <c r="AF6" s="31">
        <v>4</v>
      </c>
      <c r="AG6" s="69">
        <v>1200</v>
      </c>
    </row>
    <row r="7" spans="2:35" ht="18.75" thickTop="1" thickBot="1" x14ac:dyDescent="0.4">
      <c r="B7" s="12" t="s">
        <v>9</v>
      </c>
      <c r="C7" s="20">
        <v>1</v>
      </c>
      <c r="D7" s="20">
        <v>1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1">
        <f t="shared" ref="T7:T15" si="0">C7*$C$19+D7*$D$19+E7*$E$19+F7*$F$19+G7*$G$19+H7*$H$19+I7*$I$19+J7*$J$19+K7*$K$19+L7*$L$19+M7*$M$19+N7*$N$19+O7*$O$19+P7*$P$19+Q7*$Q$19+R7*$R$19+S7*$S$19</f>
        <v>320</v>
      </c>
      <c r="U7" s="9" t="s">
        <v>10</v>
      </c>
      <c r="V7" s="18">
        <v>450</v>
      </c>
      <c r="W7" s="8" t="s">
        <v>34</v>
      </c>
      <c r="Z7" s="72"/>
      <c r="AA7" s="73"/>
      <c r="AB7" s="73"/>
      <c r="AC7" s="69"/>
      <c r="AD7" s="29" t="s">
        <v>53</v>
      </c>
      <c r="AE7" s="30">
        <v>20</v>
      </c>
      <c r="AF7" s="31">
        <v>4</v>
      </c>
      <c r="AG7" s="69">
        <v>80</v>
      </c>
    </row>
    <row r="8" spans="2:35" ht="18.75" thickTop="1" thickBot="1" x14ac:dyDescent="0.4">
      <c r="B8" s="13" t="s">
        <v>11</v>
      </c>
      <c r="C8" s="21">
        <v>0</v>
      </c>
      <c r="D8" s="21">
        <v>0</v>
      </c>
      <c r="E8" s="21">
        <v>1</v>
      </c>
      <c r="F8" s="21">
        <v>1</v>
      </c>
      <c r="G8" s="21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1">
        <f t="shared" si="0"/>
        <v>600</v>
      </c>
      <c r="U8" s="9" t="s">
        <v>10</v>
      </c>
      <c r="V8" s="18">
        <v>600</v>
      </c>
      <c r="W8" s="8" t="s">
        <v>35</v>
      </c>
      <c r="Z8" s="72" t="s">
        <v>47</v>
      </c>
      <c r="AA8" s="73">
        <v>600</v>
      </c>
      <c r="AB8" s="73">
        <v>5</v>
      </c>
      <c r="AC8" s="69">
        <v>3000</v>
      </c>
      <c r="AD8" s="29" t="s">
        <v>54</v>
      </c>
      <c r="AE8" s="31">
        <v>300</v>
      </c>
      <c r="AF8" s="30">
        <v>3</v>
      </c>
      <c r="AG8" s="69">
        <v>900</v>
      </c>
    </row>
    <row r="9" spans="2:35" ht="18.75" thickTop="1" thickBot="1" x14ac:dyDescent="0.4">
      <c r="B9" s="13" t="s">
        <v>12</v>
      </c>
      <c r="C9" s="21">
        <v>0</v>
      </c>
      <c r="D9" s="21">
        <v>0</v>
      </c>
      <c r="E9" s="21">
        <v>0</v>
      </c>
      <c r="F9" s="21">
        <v>0</v>
      </c>
      <c r="G9" s="21">
        <v>1</v>
      </c>
      <c r="H9" s="21">
        <v>1</v>
      </c>
      <c r="I9" s="21">
        <v>1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T9" s="1">
        <f t="shared" si="0"/>
        <v>380</v>
      </c>
      <c r="U9" s="9" t="s">
        <v>10</v>
      </c>
      <c r="V9" s="18">
        <v>380</v>
      </c>
      <c r="W9" s="8" t="s">
        <v>36</v>
      </c>
      <c r="Z9" s="72"/>
      <c r="AA9" s="73"/>
      <c r="AB9" s="73"/>
      <c r="AC9" s="69"/>
      <c r="AD9" s="29" t="s">
        <v>55</v>
      </c>
      <c r="AE9" s="31">
        <v>300</v>
      </c>
      <c r="AF9" s="30">
        <v>7</v>
      </c>
      <c r="AG9" s="69">
        <v>2100</v>
      </c>
    </row>
    <row r="10" spans="2:35" ht="18.75" thickTop="1" thickBot="1" x14ac:dyDescent="0.4">
      <c r="B10" s="13" t="s">
        <v>13</v>
      </c>
      <c r="C10" s="21">
        <v>-1</v>
      </c>
      <c r="D10" s="21">
        <v>0</v>
      </c>
      <c r="E10" s="21">
        <v>-1</v>
      </c>
      <c r="F10" s="21">
        <v>0</v>
      </c>
      <c r="G10" s="21">
        <v>-1</v>
      </c>
      <c r="H10" s="21">
        <v>0</v>
      </c>
      <c r="I10" s="21">
        <v>0</v>
      </c>
      <c r="J10" s="21">
        <v>1</v>
      </c>
      <c r="K10" s="21">
        <v>1</v>
      </c>
      <c r="L10" s="21">
        <v>1</v>
      </c>
      <c r="M10" s="21">
        <v>1</v>
      </c>
      <c r="N10" s="21">
        <v>1</v>
      </c>
      <c r="O10" s="21">
        <v>-1</v>
      </c>
      <c r="P10" s="21">
        <v>0</v>
      </c>
      <c r="Q10" s="21">
        <v>0</v>
      </c>
      <c r="R10" s="21">
        <v>0</v>
      </c>
      <c r="S10" s="21">
        <v>0</v>
      </c>
      <c r="T10" s="1">
        <f t="shared" si="0"/>
        <v>0</v>
      </c>
      <c r="U10" s="9" t="s">
        <v>14</v>
      </c>
      <c r="V10" s="18">
        <v>0</v>
      </c>
      <c r="W10" s="8" t="s">
        <v>37</v>
      </c>
      <c r="Z10" s="37"/>
      <c r="AA10" s="38"/>
      <c r="AB10" s="38"/>
      <c r="AC10" s="39"/>
      <c r="AD10" s="36" t="s">
        <v>62</v>
      </c>
      <c r="AE10" s="31">
        <v>380</v>
      </c>
      <c r="AF10" s="30">
        <v>7</v>
      </c>
      <c r="AG10" s="33">
        <v>2660</v>
      </c>
    </row>
    <row r="11" spans="2:35" ht="18.75" thickTop="1" thickBot="1" x14ac:dyDescent="0.4">
      <c r="B11" s="13" t="s">
        <v>15</v>
      </c>
      <c r="C11" s="21">
        <v>0</v>
      </c>
      <c r="D11" s="21">
        <v>-1</v>
      </c>
      <c r="E11" s="21">
        <v>0</v>
      </c>
      <c r="F11" s="21">
        <v>-1</v>
      </c>
      <c r="G11" s="21">
        <v>0</v>
      </c>
      <c r="H11" s="21">
        <v>-1</v>
      </c>
      <c r="I11" s="21">
        <v>0</v>
      </c>
      <c r="J11" s="21">
        <v>-1</v>
      </c>
      <c r="K11" s="21">
        <v>0</v>
      </c>
      <c r="L11" s="21">
        <v>0</v>
      </c>
      <c r="M11" s="21">
        <v>0</v>
      </c>
      <c r="N11" s="21">
        <v>0</v>
      </c>
      <c r="O11" s="21">
        <v>1</v>
      </c>
      <c r="P11" s="21">
        <v>1</v>
      </c>
      <c r="Q11" s="21">
        <v>1</v>
      </c>
      <c r="R11" s="21">
        <v>1</v>
      </c>
      <c r="S11" s="22">
        <v>1</v>
      </c>
      <c r="T11" s="1">
        <f t="shared" si="0"/>
        <v>0</v>
      </c>
      <c r="U11" s="9" t="s">
        <v>14</v>
      </c>
      <c r="V11" s="18">
        <v>0</v>
      </c>
      <c r="W11" s="8" t="s">
        <v>38</v>
      </c>
      <c r="Z11" s="40"/>
      <c r="AA11" s="41"/>
      <c r="AB11" s="32" t="s">
        <v>57</v>
      </c>
      <c r="AC11" s="34">
        <f>SUM(AC6:AC9)</f>
        <v>4280</v>
      </c>
      <c r="AD11" s="40"/>
      <c r="AE11" s="42"/>
      <c r="AF11" s="35" t="s">
        <v>57</v>
      </c>
      <c r="AG11" s="34">
        <f>SUM(AG6:AG10)</f>
        <v>6940</v>
      </c>
    </row>
    <row r="12" spans="2:35" ht="18.75" thickTop="1" thickBot="1" x14ac:dyDescent="0.4">
      <c r="B12" s="13" t="s">
        <v>16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1">
        <v>1</v>
      </c>
      <c r="L12" s="21">
        <v>0</v>
      </c>
      <c r="M12" s="21">
        <v>0</v>
      </c>
      <c r="N12" s="21">
        <v>0</v>
      </c>
      <c r="O12" s="21">
        <v>0</v>
      </c>
      <c r="P12" s="21">
        <v>1</v>
      </c>
      <c r="Q12" s="21">
        <v>0</v>
      </c>
      <c r="R12" s="21">
        <v>0</v>
      </c>
      <c r="S12" s="21">
        <v>0</v>
      </c>
      <c r="T12" s="1">
        <f t="shared" si="0"/>
        <v>300</v>
      </c>
      <c r="U12" s="9" t="s">
        <v>14</v>
      </c>
      <c r="V12" s="18">
        <v>300</v>
      </c>
      <c r="W12" s="8" t="s">
        <v>39</v>
      </c>
      <c r="AE12" s="26"/>
      <c r="AF12" s="26"/>
      <c r="AG12" s="25"/>
    </row>
    <row r="13" spans="2:35" ht="18.75" thickTop="1" thickBot="1" x14ac:dyDescent="0.4">
      <c r="B13" s="13" t="s">
        <v>17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1</v>
      </c>
      <c r="M13" s="21">
        <v>0</v>
      </c>
      <c r="N13" s="21">
        <v>0</v>
      </c>
      <c r="O13" s="21">
        <v>0</v>
      </c>
      <c r="P13" s="21">
        <v>0</v>
      </c>
      <c r="Q13" s="21">
        <v>1</v>
      </c>
      <c r="R13" s="21">
        <v>0</v>
      </c>
      <c r="S13" s="21">
        <v>0</v>
      </c>
      <c r="T13" s="1">
        <f t="shared" si="0"/>
        <v>300</v>
      </c>
      <c r="U13" s="9" t="s">
        <v>14</v>
      </c>
      <c r="V13" s="18">
        <v>300</v>
      </c>
      <c r="W13" s="8" t="s">
        <v>41</v>
      </c>
      <c r="Z13" s="70" t="s">
        <v>58</v>
      </c>
      <c r="AA13" s="70"/>
      <c r="AB13" s="70"/>
      <c r="AC13" s="70"/>
      <c r="AD13" s="71">
        <f>SUM(AC11+AG11)</f>
        <v>11220</v>
      </c>
      <c r="AE13" s="65"/>
      <c r="AF13" s="65"/>
      <c r="AG13" s="65"/>
    </row>
    <row r="14" spans="2:35" ht="18.75" thickTop="1" thickBot="1" x14ac:dyDescent="0.4">
      <c r="B14" s="13" t="s">
        <v>32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1</v>
      </c>
      <c r="N14" s="21">
        <v>0</v>
      </c>
      <c r="O14" s="21">
        <v>0</v>
      </c>
      <c r="P14" s="21">
        <v>0</v>
      </c>
      <c r="Q14" s="21">
        <v>0</v>
      </c>
      <c r="R14" s="21">
        <v>1</v>
      </c>
      <c r="S14" s="21">
        <v>0</v>
      </c>
      <c r="T14" s="1">
        <f t="shared" si="0"/>
        <v>300</v>
      </c>
      <c r="U14" s="9" t="s">
        <v>14</v>
      </c>
      <c r="V14" s="18">
        <v>300</v>
      </c>
      <c r="W14" s="8" t="s">
        <v>42</v>
      </c>
    </row>
    <row r="15" spans="2:35" ht="18.75" thickTop="1" thickBot="1" x14ac:dyDescent="0.4">
      <c r="B15" s="14" t="s">
        <v>33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1</v>
      </c>
      <c r="J15" s="23">
        <v>0</v>
      </c>
      <c r="K15" s="23">
        <v>0</v>
      </c>
      <c r="L15" s="23">
        <v>0</v>
      </c>
      <c r="M15" s="23">
        <v>0</v>
      </c>
      <c r="N15" s="23">
        <v>1</v>
      </c>
      <c r="O15" s="23">
        <v>0</v>
      </c>
      <c r="P15" s="23">
        <v>0</v>
      </c>
      <c r="Q15" s="23">
        <v>0</v>
      </c>
      <c r="R15" s="23">
        <v>0</v>
      </c>
      <c r="S15" s="23">
        <v>1</v>
      </c>
      <c r="T15" s="1">
        <f t="shared" si="0"/>
        <v>400</v>
      </c>
      <c r="U15" s="9" t="s">
        <v>14</v>
      </c>
      <c r="V15" s="18">
        <v>400</v>
      </c>
      <c r="W15" s="8" t="s">
        <v>40</v>
      </c>
      <c r="Z15" s="66" t="s">
        <v>60</v>
      </c>
      <c r="AA15" s="66"/>
      <c r="AB15" s="66"/>
      <c r="AC15" s="66"/>
      <c r="AD15" s="66"/>
      <c r="AE15" s="66"/>
      <c r="AF15" s="66"/>
      <c r="AG15" s="66"/>
    </row>
    <row r="16" spans="2:35" x14ac:dyDescent="0.35">
      <c r="B16" s="2"/>
      <c r="U16" s="3"/>
    </row>
    <row r="17" spans="2:33" x14ac:dyDescent="0.35">
      <c r="B17" s="10" t="s">
        <v>18</v>
      </c>
      <c r="U17" s="3"/>
      <c r="Z17" s="67" t="s">
        <v>61</v>
      </c>
      <c r="AA17" s="68"/>
      <c r="AB17" s="68"/>
      <c r="AC17" s="68"/>
      <c r="AD17" s="68"/>
      <c r="AE17" s="68"/>
      <c r="AF17" s="68"/>
      <c r="AG17" s="68"/>
    </row>
    <row r="18" spans="2:33" ht="18" thickBot="1" x14ac:dyDescent="0.4"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20</v>
      </c>
      <c r="I18" s="5" t="s">
        <v>21</v>
      </c>
      <c r="J18" s="5" t="s">
        <v>30</v>
      </c>
      <c r="K18" s="5" t="s">
        <v>22</v>
      </c>
      <c r="L18" s="5" t="s">
        <v>23</v>
      </c>
      <c r="M18" s="5" t="s">
        <v>25</v>
      </c>
      <c r="N18" s="5" t="s">
        <v>24</v>
      </c>
      <c r="O18" s="5" t="s">
        <v>31</v>
      </c>
      <c r="P18" s="5" t="s">
        <v>26</v>
      </c>
      <c r="Q18" s="5" t="s">
        <v>27</v>
      </c>
      <c r="R18" s="5" t="s">
        <v>28</v>
      </c>
      <c r="S18" s="5" t="s">
        <v>29</v>
      </c>
      <c r="T18" s="5" t="s">
        <v>19</v>
      </c>
      <c r="Z18" s="68"/>
      <c r="AA18" s="68"/>
      <c r="AB18" s="68"/>
      <c r="AC18" s="68"/>
      <c r="AD18" s="68"/>
      <c r="AE18" s="68"/>
      <c r="AF18" s="68"/>
      <c r="AG18" s="68"/>
    </row>
    <row r="19" spans="2:33" ht="18" thickBot="1" x14ac:dyDescent="0.4">
      <c r="B19" s="7" t="s">
        <v>18</v>
      </c>
      <c r="C19" s="15">
        <v>320</v>
      </c>
      <c r="D19" s="16">
        <v>0</v>
      </c>
      <c r="E19" s="16">
        <v>0</v>
      </c>
      <c r="F19" s="16">
        <v>600</v>
      </c>
      <c r="G19" s="16">
        <v>0</v>
      </c>
      <c r="H19" s="16">
        <v>0</v>
      </c>
      <c r="I19" s="16">
        <v>380</v>
      </c>
      <c r="J19" s="16">
        <v>0</v>
      </c>
      <c r="K19" s="16">
        <v>0</v>
      </c>
      <c r="L19" s="16">
        <v>300</v>
      </c>
      <c r="M19" s="16">
        <v>0</v>
      </c>
      <c r="N19" s="16">
        <v>20</v>
      </c>
      <c r="O19" s="16">
        <v>0</v>
      </c>
      <c r="P19" s="16">
        <v>300</v>
      </c>
      <c r="Q19" s="16">
        <v>0</v>
      </c>
      <c r="R19" s="16">
        <v>300</v>
      </c>
      <c r="S19" s="17">
        <v>0</v>
      </c>
      <c r="T19" s="4">
        <f>C6*C19+D6*D19+E6*E19+F6*F19+G6*G19+H6*H19+I6*I19+J6*J19+K6*K19+L6*L19+M6*M19+N6*N19+O6*O19+P6*P19+Q6*Q19+R6*R19+S6*S19</f>
        <v>11220</v>
      </c>
      <c r="Z19" s="68"/>
      <c r="AA19" s="68"/>
      <c r="AB19" s="68"/>
      <c r="AC19" s="68"/>
      <c r="AD19" s="68"/>
      <c r="AE19" s="68"/>
      <c r="AF19" s="68"/>
      <c r="AG19" s="68"/>
    </row>
  </sheetData>
  <mergeCells count="15">
    <mergeCell ref="Z3:AG3"/>
    <mergeCell ref="Z15:AG15"/>
    <mergeCell ref="Z17:AG19"/>
    <mergeCell ref="AG6:AG7"/>
    <mergeCell ref="AG8:AG9"/>
    <mergeCell ref="Z13:AC13"/>
    <mergeCell ref="AD13:AG13"/>
    <mergeCell ref="Z8:Z9"/>
    <mergeCell ref="AA8:AA9"/>
    <mergeCell ref="AB8:AB9"/>
    <mergeCell ref="AC8:AC9"/>
    <mergeCell ref="Z6:Z7"/>
    <mergeCell ref="AA6:AA7"/>
    <mergeCell ref="AB6:AB7"/>
    <mergeCell ref="AC6:AC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Modelo de redes 1</vt:lpstr>
      <vt:lpstr>Modelo de redes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Saanchez</dc:creator>
  <cp:lastModifiedBy>Fredy Saanchez</cp:lastModifiedBy>
  <dcterms:created xsi:type="dcterms:W3CDTF">2016-01-28T16:08:41Z</dcterms:created>
  <dcterms:modified xsi:type="dcterms:W3CDTF">2016-01-28T18:35:33Z</dcterms:modified>
</cp:coreProperties>
</file>